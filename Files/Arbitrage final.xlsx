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lave\Desktop\MON PORTFOLIO\"/>
    </mc:Choice>
  </mc:AlternateContent>
  <xr:revisionPtr revIDLastSave="0" documentId="8_{21757FF3-276D-491C-88A8-46208EA7B4DC}" xr6:coauthVersionLast="47" xr6:coauthVersionMax="47" xr10:uidLastSave="{00000000-0000-0000-0000-000000000000}"/>
  <bookViews>
    <workbookView xWindow="-110" yWindow="-110" windowWidth="22780" windowHeight="14540" xr2:uid="{2A64DD9B-DFB7-4F36-85F3-C12A8E2FB44F}"/>
  </bookViews>
  <sheets>
    <sheet name="Contexte" sheetId="10" r:id="rId1"/>
    <sheet name="31.01" sheetId="3" r:id="rId2"/>
    <sheet name="07.02" sheetId="2" r:id="rId3"/>
    <sheet name="13.02" sheetId="6" r:id="rId4"/>
    <sheet name="07.03" sheetId="7" r:id="rId5"/>
    <sheet name="Composant du portefeuile " sheetId="4" r:id="rId6"/>
  </sheets>
  <definedNames>
    <definedName name="solver_adj" localSheetId="2" hidden="1">'07.02'!$D$10:$D$38</definedName>
    <definedName name="solver_adj" localSheetId="4" hidden="1">'07.03'!$D$10:$D$38</definedName>
    <definedName name="solver_adj" localSheetId="3" hidden="1">'13.02'!$D$10:$D$38</definedName>
    <definedName name="solver_adj" localSheetId="1" hidden="1">'31.01'!$D$10:$D$38</definedName>
    <definedName name="solver_cvg" localSheetId="2" hidden="1">0.0001</definedName>
    <definedName name="solver_cvg" localSheetId="4" hidden="1">0.0001</definedName>
    <definedName name="solver_cvg" localSheetId="3" hidden="1">0.0001</definedName>
    <definedName name="solver_cvg" localSheetId="1" hidden="1">0.0001</definedName>
    <definedName name="solver_drv" localSheetId="2" hidden="1">2</definedName>
    <definedName name="solver_drv" localSheetId="4" hidden="1">2</definedName>
    <definedName name="solver_drv" localSheetId="3" hidden="1">2</definedName>
    <definedName name="solver_drv" localSheetId="1" hidden="1">2</definedName>
    <definedName name="solver_eng" localSheetId="2" hidden="1">1</definedName>
    <definedName name="solver_eng" localSheetId="4" hidden="1">1</definedName>
    <definedName name="solver_eng" localSheetId="3" hidden="1">1</definedName>
    <definedName name="solver_eng" localSheetId="1" hidden="1">1</definedName>
    <definedName name="solver_est" localSheetId="2" hidden="1">1</definedName>
    <definedName name="solver_est" localSheetId="4" hidden="1">1</definedName>
    <definedName name="solver_est" localSheetId="3" hidden="1">1</definedName>
    <definedName name="solver_est" localSheetId="1" hidden="1">1</definedName>
    <definedName name="solver_itr" localSheetId="2" hidden="1">2147483647</definedName>
    <definedName name="solver_itr" localSheetId="4" hidden="1">2147483647</definedName>
    <definedName name="solver_itr" localSheetId="3" hidden="1">2147483647</definedName>
    <definedName name="solver_itr" localSheetId="1" hidden="1">2147483647</definedName>
    <definedName name="solver_lhs1" localSheetId="2" hidden="1">'07.02'!$D$10:$D$38</definedName>
    <definedName name="solver_lhs1" localSheetId="4" hidden="1">'07.03'!$D$10:$D$38</definedName>
    <definedName name="solver_lhs1" localSheetId="3" hidden="1">'13.02'!$D$10:$D$38</definedName>
    <definedName name="solver_lhs1" localSheetId="1" hidden="1">'31.01'!$D$10:$D$38</definedName>
    <definedName name="solver_lhs2" localSheetId="2" hidden="1">'07.02'!$J$4</definedName>
    <definedName name="solver_lhs2" localSheetId="4" hidden="1">'07.03'!$L$4</definedName>
    <definedName name="solver_lhs2" localSheetId="3" hidden="1">'13.02'!$K$4</definedName>
    <definedName name="solver_lhs2" localSheetId="1" hidden="1">'31.01'!$I$4</definedName>
    <definedName name="solver_lhs3" localSheetId="2" hidden="1">'07.02'!$J$4</definedName>
    <definedName name="solver_lhs3" localSheetId="4" hidden="1">'07.03'!$L$4</definedName>
    <definedName name="solver_lhs3" localSheetId="3" hidden="1">'13.02'!$K$4</definedName>
    <definedName name="solver_lhs3" localSheetId="1" hidden="1">'31.01'!$I$4</definedName>
    <definedName name="solver_mip" localSheetId="2" hidden="1">2147483647</definedName>
    <definedName name="solver_mip" localSheetId="4" hidden="1">2147483647</definedName>
    <definedName name="solver_mip" localSheetId="3" hidden="1">2147483647</definedName>
    <definedName name="solver_mip" localSheetId="1" hidden="1">2147483647</definedName>
    <definedName name="solver_mni" localSheetId="2" hidden="1">30</definedName>
    <definedName name="solver_mni" localSheetId="4" hidden="1">30</definedName>
    <definedName name="solver_mni" localSheetId="3" hidden="1">30</definedName>
    <definedName name="solver_mni" localSheetId="1" hidden="1">30</definedName>
    <definedName name="solver_mrt" localSheetId="2" hidden="1">0.075</definedName>
    <definedName name="solver_mrt" localSheetId="4" hidden="1">0.075</definedName>
    <definedName name="solver_mrt" localSheetId="3" hidden="1">0.075</definedName>
    <definedName name="solver_mrt" localSheetId="1" hidden="1">0.075</definedName>
    <definedName name="solver_msl" localSheetId="2" hidden="1">2</definedName>
    <definedName name="solver_msl" localSheetId="4" hidden="1">2</definedName>
    <definedName name="solver_msl" localSheetId="3" hidden="1">2</definedName>
    <definedName name="solver_msl" localSheetId="1" hidden="1">2</definedName>
    <definedName name="solver_neg" localSheetId="2" hidden="1">1</definedName>
    <definedName name="solver_neg" localSheetId="4" hidden="1">1</definedName>
    <definedName name="solver_neg" localSheetId="3" hidden="1">1</definedName>
    <definedName name="solver_neg" localSheetId="1" hidden="1">1</definedName>
    <definedName name="solver_nod" localSheetId="2" hidden="1">2147483647</definedName>
    <definedName name="solver_nod" localSheetId="4" hidden="1">2147483647</definedName>
    <definedName name="solver_nod" localSheetId="3" hidden="1">2147483647</definedName>
    <definedName name="solver_nod" localSheetId="1" hidden="1">2147483647</definedName>
    <definedName name="solver_num" localSheetId="2" hidden="1">2</definedName>
    <definedName name="solver_num" localSheetId="4" hidden="1">2</definedName>
    <definedName name="solver_num" localSheetId="3" hidden="1">2</definedName>
    <definedName name="solver_num" localSheetId="1" hidden="1">2</definedName>
    <definedName name="solver_nwt" localSheetId="2" hidden="1">1</definedName>
    <definedName name="solver_nwt" localSheetId="4" hidden="1">1</definedName>
    <definedName name="solver_nwt" localSheetId="3" hidden="1">1</definedName>
    <definedName name="solver_nwt" localSheetId="1" hidden="1">1</definedName>
    <definedName name="solver_opt" localSheetId="2" hidden="1">'07.02'!$I$39</definedName>
    <definedName name="solver_opt" localSheetId="4" hidden="1">'07.03'!$K$39</definedName>
    <definedName name="solver_opt" localSheetId="3" hidden="1">'13.02'!$J$39</definedName>
    <definedName name="solver_opt" localSheetId="1" hidden="1">'31.01'!$H$39</definedName>
    <definedName name="solver_pre" localSheetId="2" hidden="1">0.000001</definedName>
    <definedName name="solver_pre" localSheetId="4" hidden="1">0.000001</definedName>
    <definedName name="solver_pre" localSheetId="3" hidden="1">0.000001</definedName>
    <definedName name="solver_pre" localSheetId="1" hidden="1">0.000001</definedName>
    <definedName name="solver_rbv" localSheetId="2" hidden="1">2</definedName>
    <definedName name="solver_rbv" localSheetId="4" hidden="1">2</definedName>
    <definedName name="solver_rbv" localSheetId="3" hidden="1">2</definedName>
    <definedName name="solver_rbv" localSheetId="1" hidden="1">2</definedName>
    <definedName name="solver_rel1" localSheetId="2" hidden="1">3</definedName>
    <definedName name="solver_rel1" localSheetId="4" hidden="1">3</definedName>
    <definedName name="solver_rel1" localSheetId="3" hidden="1">3</definedName>
    <definedName name="solver_rel1" localSheetId="1" hidden="1">3</definedName>
    <definedName name="solver_rel2" localSheetId="2" hidden="1">2</definedName>
    <definedName name="solver_rel2" localSheetId="4" hidden="1">2</definedName>
    <definedName name="solver_rel2" localSheetId="3" hidden="1">2</definedName>
    <definedName name="solver_rel2" localSheetId="1" hidden="1">2</definedName>
    <definedName name="solver_rel3" localSheetId="2" hidden="1">2</definedName>
    <definedName name="solver_rel3" localSheetId="4" hidden="1">2</definedName>
    <definedName name="solver_rel3" localSheetId="3" hidden="1">2</definedName>
    <definedName name="solver_rel3" localSheetId="1" hidden="1">2</definedName>
    <definedName name="solver_rhs1" localSheetId="2" hidden="1">0</definedName>
    <definedName name="solver_rhs1" localSheetId="4" hidden="1">0</definedName>
    <definedName name="solver_rhs1" localSheetId="3" hidden="1">0</definedName>
    <definedName name="solver_rhs1" localSheetId="1" hidden="1">0</definedName>
    <definedName name="solver_rhs2" localSheetId="2" hidden="1">1</definedName>
    <definedName name="solver_rhs2" localSheetId="4" hidden="1">1</definedName>
    <definedName name="solver_rhs2" localSheetId="3" hidden="1">1</definedName>
    <definedName name="solver_rhs2" localSheetId="1" hidden="1">1</definedName>
    <definedName name="solver_rhs3" localSheetId="2" hidden="1">1</definedName>
    <definedName name="solver_rhs3" localSheetId="4" hidden="1">1</definedName>
    <definedName name="solver_rhs3" localSheetId="3" hidden="1">1</definedName>
    <definedName name="solver_rhs3" localSheetId="1" hidden="1">1</definedName>
    <definedName name="solver_rlx" localSheetId="2" hidden="1">2</definedName>
    <definedName name="solver_rlx" localSheetId="4" hidden="1">2</definedName>
    <definedName name="solver_rlx" localSheetId="3" hidden="1">2</definedName>
    <definedName name="solver_rlx" localSheetId="1" hidden="1">2</definedName>
    <definedName name="solver_rsd" localSheetId="2" hidden="1">0</definedName>
    <definedName name="solver_rsd" localSheetId="4" hidden="1">0</definedName>
    <definedName name="solver_rsd" localSheetId="3" hidden="1">0</definedName>
    <definedName name="solver_rsd" localSheetId="1" hidden="1">0</definedName>
    <definedName name="solver_scl" localSheetId="2" hidden="1">2</definedName>
    <definedName name="solver_scl" localSheetId="4" hidden="1">2</definedName>
    <definedName name="solver_scl" localSheetId="3" hidden="1">2</definedName>
    <definedName name="solver_scl" localSheetId="1" hidden="1">2</definedName>
    <definedName name="solver_sho" localSheetId="2" hidden="1">2</definedName>
    <definedName name="solver_sho" localSheetId="4" hidden="1">2</definedName>
    <definedName name="solver_sho" localSheetId="3" hidden="1">2</definedName>
    <definedName name="solver_sho" localSheetId="1" hidden="1">2</definedName>
    <definedName name="solver_ssz" localSheetId="2" hidden="1">100</definedName>
    <definedName name="solver_ssz" localSheetId="4" hidden="1">100</definedName>
    <definedName name="solver_ssz" localSheetId="3" hidden="1">100</definedName>
    <definedName name="solver_ssz" localSheetId="1" hidden="1">100</definedName>
    <definedName name="solver_tim" localSheetId="2" hidden="1">2147483647</definedName>
    <definedName name="solver_tim" localSheetId="4" hidden="1">2147483647</definedName>
    <definedName name="solver_tim" localSheetId="3" hidden="1">2147483647</definedName>
    <definedName name="solver_tim" localSheetId="1" hidden="1">2147483647</definedName>
    <definedName name="solver_tol" localSheetId="2" hidden="1">0.01</definedName>
    <definedName name="solver_tol" localSheetId="4" hidden="1">0.01</definedName>
    <definedName name="solver_tol" localSheetId="3" hidden="1">0.01</definedName>
    <definedName name="solver_tol" localSheetId="1" hidden="1">0.01</definedName>
    <definedName name="solver_typ" localSheetId="2" hidden="1">3</definedName>
    <definedName name="solver_typ" localSheetId="4" hidden="1">3</definedName>
    <definedName name="solver_typ" localSheetId="3" hidden="1">3</definedName>
    <definedName name="solver_typ" localSheetId="1" hidden="1">3</definedName>
    <definedName name="solver_val" localSheetId="2" hidden="1">70000000</definedName>
    <definedName name="solver_val" localSheetId="4" hidden="1">70000000</definedName>
    <definedName name="solver_val" localSheetId="3" hidden="1">70000000</definedName>
    <definedName name="solver_val" localSheetId="1" hidden="1">70000000</definedName>
    <definedName name="solver_ver" localSheetId="2" hidden="1">3</definedName>
    <definedName name="solver_ver" localSheetId="4" hidden="1">3</definedName>
    <definedName name="solver_ver" localSheetId="3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3" i="4" l="1"/>
  <c r="E10" i="4"/>
  <c r="F10" i="4"/>
  <c r="G10" i="4"/>
  <c r="D10" i="4"/>
  <c r="G3" i="4"/>
  <c r="R24" i="7"/>
  <c r="J14" i="7"/>
  <c r="E91" i="7"/>
  <c r="I86" i="7"/>
  <c r="R76" i="7"/>
  <c r="Q76" i="7"/>
  <c r="J76" i="7"/>
  <c r="K76" i="7" s="1"/>
  <c r="Q69" i="7"/>
  <c r="J69" i="7"/>
  <c r="K69" i="7" s="1"/>
  <c r="R70" i="7"/>
  <c r="Q70" i="7"/>
  <c r="J70" i="7"/>
  <c r="K70" i="7" s="1"/>
  <c r="R79" i="7"/>
  <c r="Q79" i="7"/>
  <c r="J79" i="7"/>
  <c r="K79" i="7" s="1"/>
  <c r="R73" i="7"/>
  <c r="Q73" i="7"/>
  <c r="J73" i="7"/>
  <c r="K73" i="7" s="1"/>
  <c r="R65" i="7"/>
  <c r="Q65" i="7"/>
  <c r="J65" i="7"/>
  <c r="K65" i="7" s="1"/>
  <c r="R68" i="7"/>
  <c r="Q68" i="7"/>
  <c r="J68" i="7"/>
  <c r="K68" i="7" s="1"/>
  <c r="R71" i="7"/>
  <c r="Q71" i="7"/>
  <c r="J71" i="7"/>
  <c r="K71" i="7" s="1"/>
  <c r="R64" i="7"/>
  <c r="Q64" i="7"/>
  <c r="J64" i="7"/>
  <c r="K64" i="7" s="1"/>
  <c r="R61" i="7"/>
  <c r="Q61" i="7"/>
  <c r="J61" i="7"/>
  <c r="K61" i="7" s="1"/>
  <c r="R80" i="7"/>
  <c r="Q80" i="7"/>
  <c r="J80" i="7"/>
  <c r="K80" i="7" s="1"/>
  <c r="R57" i="7"/>
  <c r="Q57" i="7"/>
  <c r="J57" i="7"/>
  <c r="K57" i="7" s="1"/>
  <c r="R55" i="7"/>
  <c r="Q55" i="7"/>
  <c r="J55" i="7"/>
  <c r="K55" i="7" s="1"/>
  <c r="R54" i="7"/>
  <c r="Q54" i="7"/>
  <c r="J54" i="7"/>
  <c r="K54" i="7" s="1"/>
  <c r="R53" i="7"/>
  <c r="D53" i="7"/>
  <c r="Q53" i="7" s="1"/>
  <c r="R63" i="7"/>
  <c r="Q63" i="7"/>
  <c r="J63" i="7"/>
  <c r="K63" i="7" s="1"/>
  <c r="R66" i="7"/>
  <c r="Q66" i="7"/>
  <c r="J66" i="7"/>
  <c r="K66" i="7" s="1"/>
  <c r="R56" i="7"/>
  <c r="Q56" i="7"/>
  <c r="J56" i="7"/>
  <c r="K56" i="7" s="1"/>
  <c r="R59" i="7"/>
  <c r="Q59" i="7"/>
  <c r="J59" i="7"/>
  <c r="K59" i="7" s="1"/>
  <c r="R72" i="7"/>
  <c r="Q72" i="7"/>
  <c r="J72" i="7"/>
  <c r="K72" i="7" s="1"/>
  <c r="R58" i="7"/>
  <c r="Q58" i="7"/>
  <c r="J58" i="7"/>
  <c r="K58" i="7" s="1"/>
  <c r="R77" i="7"/>
  <c r="Q77" i="7"/>
  <c r="J77" i="7"/>
  <c r="K77" i="7" s="1"/>
  <c r="R74" i="7"/>
  <c r="Q74" i="7"/>
  <c r="J74" i="7"/>
  <c r="K74" i="7" s="1"/>
  <c r="R78" i="7"/>
  <c r="Q78" i="7"/>
  <c r="J78" i="7"/>
  <c r="K78" i="7" s="1"/>
  <c r="R67" i="7"/>
  <c r="Q67" i="7"/>
  <c r="J67" i="7"/>
  <c r="K67" i="7" s="1"/>
  <c r="R62" i="7"/>
  <c r="Q62" i="7"/>
  <c r="J62" i="7"/>
  <c r="K62" i="7" s="1"/>
  <c r="R52" i="7"/>
  <c r="Q52" i="7"/>
  <c r="J52" i="7"/>
  <c r="K52" i="7" s="1"/>
  <c r="R60" i="7"/>
  <c r="Q60" i="7"/>
  <c r="J60" i="7"/>
  <c r="K60" i="7" s="1"/>
  <c r="R75" i="7"/>
  <c r="Q75" i="7"/>
  <c r="J75" i="7"/>
  <c r="K75" i="7" s="1"/>
  <c r="R44" i="7"/>
  <c r="S44" i="7"/>
  <c r="T44" i="7"/>
  <c r="R45" i="7"/>
  <c r="S45" i="7" s="1"/>
  <c r="T45" i="7"/>
  <c r="T46" i="7" s="1"/>
  <c r="R17" i="7"/>
  <c r="R25" i="7"/>
  <c r="R28" i="7"/>
  <c r="R14" i="7"/>
  <c r="R19" i="7"/>
  <c r="R11" i="7"/>
  <c r="R29" i="7"/>
  <c r="R21" i="7"/>
  <c r="R27" i="7"/>
  <c r="R16" i="7"/>
  <c r="R31" i="7"/>
  <c r="R15" i="7"/>
  <c r="R36" i="7"/>
  <c r="R23" i="7"/>
  <c r="R10" i="7"/>
  <c r="R22" i="7"/>
  <c r="R38" i="7"/>
  <c r="R34" i="7"/>
  <c r="R26" i="7"/>
  <c r="R32" i="7"/>
  <c r="R12" i="7"/>
  <c r="R33" i="7"/>
  <c r="R30" i="7"/>
  <c r="R35" i="7"/>
  <c r="R18" i="7"/>
  <c r="R20" i="7"/>
  <c r="R13" i="7"/>
  <c r="R37" i="7"/>
  <c r="P21" i="6"/>
  <c r="Q13" i="7"/>
  <c r="T37" i="7"/>
  <c r="Q32" i="7"/>
  <c r="Q17" i="7"/>
  <c r="Q28" i="7"/>
  <c r="Q21" i="7"/>
  <c r="T33" i="7"/>
  <c r="Q18" i="7"/>
  <c r="Q11" i="7"/>
  <c r="Q20" i="7"/>
  <c r="T30" i="7"/>
  <c r="S30" i="7"/>
  <c r="Q27" i="7"/>
  <c r="Q34" i="7"/>
  <c r="Q25" i="7"/>
  <c r="Q29" i="7"/>
  <c r="Q19" i="7"/>
  <c r="S25" i="7"/>
  <c r="Q24" i="7"/>
  <c r="Q16" i="7"/>
  <c r="Q31" i="7"/>
  <c r="S22" i="7"/>
  <c r="Q14" i="7"/>
  <c r="Q12" i="7"/>
  <c r="Q30" i="7"/>
  <c r="Q36" i="7"/>
  <c r="Q23" i="7"/>
  <c r="Q22" i="7"/>
  <c r="Q37" i="7"/>
  <c r="Q33" i="7"/>
  <c r="Q15" i="7"/>
  <c r="Q10" i="7"/>
  <c r="D35" i="7"/>
  <c r="Q35" i="7" s="1"/>
  <c r="Q38" i="7"/>
  <c r="Q26" i="7"/>
  <c r="J4" i="7"/>
  <c r="J2" i="7" s="1"/>
  <c r="D12" i="6"/>
  <c r="D39" i="6"/>
  <c r="F4" i="4"/>
  <c r="R44" i="6"/>
  <c r="Q44" i="6"/>
  <c r="Q45" i="6"/>
  <c r="Q22" i="6"/>
  <c r="P17" i="6"/>
  <c r="P33" i="6"/>
  <c r="P16" i="6"/>
  <c r="P31" i="6"/>
  <c r="P27" i="6"/>
  <c r="P26" i="6"/>
  <c r="P34" i="6"/>
  <c r="P15" i="6"/>
  <c r="P20" i="6"/>
  <c r="P30" i="6"/>
  <c r="P29" i="6"/>
  <c r="P32" i="6"/>
  <c r="P36" i="6"/>
  <c r="P37" i="6"/>
  <c r="P35" i="6"/>
  <c r="P28" i="6"/>
  <c r="P19" i="6"/>
  <c r="P22" i="6"/>
  <c r="P18" i="6"/>
  <c r="P25" i="6"/>
  <c r="P23" i="6"/>
  <c r="P14" i="6"/>
  <c r="P11" i="6"/>
  <c r="P38" i="6"/>
  <c r="P10" i="6"/>
  <c r="P39" i="6" s="1"/>
  <c r="P24" i="6"/>
  <c r="P13" i="6"/>
  <c r="P12" i="6"/>
  <c r="R45" i="6"/>
  <c r="P45" i="6"/>
  <c r="P44" i="6"/>
  <c r="R37" i="6"/>
  <c r="O13" i="6"/>
  <c r="O24" i="6"/>
  <c r="O10" i="6"/>
  <c r="O38" i="6"/>
  <c r="R33" i="6"/>
  <c r="O11" i="6"/>
  <c r="O14" i="6"/>
  <c r="O23" i="6"/>
  <c r="R30" i="6"/>
  <c r="Q30" i="6"/>
  <c r="O25" i="6"/>
  <c r="O21" i="6"/>
  <c r="O18" i="6"/>
  <c r="O22" i="6"/>
  <c r="O19" i="6"/>
  <c r="Q25" i="6"/>
  <c r="O28" i="6"/>
  <c r="O35" i="6"/>
  <c r="O37" i="6"/>
  <c r="O36" i="6"/>
  <c r="O32" i="6"/>
  <c r="O29" i="6"/>
  <c r="O30" i="6"/>
  <c r="O20" i="6"/>
  <c r="O15" i="6"/>
  <c r="O34" i="6"/>
  <c r="O26" i="6"/>
  <c r="O27" i="6"/>
  <c r="O31" i="6"/>
  <c r="O16" i="6"/>
  <c r="O33" i="6"/>
  <c r="O17" i="6"/>
  <c r="I4" i="6"/>
  <c r="I2" i="6" s="1"/>
  <c r="I10" i="6" s="1"/>
  <c r="J10" i="6" s="1"/>
  <c r="D38" i="2"/>
  <c r="H38" i="2" s="1"/>
  <c r="O25" i="2"/>
  <c r="P37" i="2"/>
  <c r="O30" i="2"/>
  <c r="P33" i="2"/>
  <c r="O22" i="2"/>
  <c r="P30" i="2"/>
  <c r="K39" i="3"/>
  <c r="E4" i="4"/>
  <c r="D4" i="4"/>
  <c r="D3" i="4"/>
  <c r="C4" i="4"/>
  <c r="C3" i="4"/>
  <c r="C5" i="4" s="1"/>
  <c r="C6" i="4" l="1"/>
  <c r="D5" i="4"/>
  <c r="D6" i="4" s="1"/>
  <c r="S46" i="7"/>
  <c r="G4" i="4" s="1"/>
  <c r="R81" i="7"/>
  <c r="Q81" i="7"/>
  <c r="J53" i="7"/>
  <c r="K53" i="7" s="1"/>
  <c r="K81" i="7" s="1"/>
  <c r="D81" i="7"/>
  <c r="Q39" i="7"/>
  <c r="R39" i="7"/>
  <c r="D39" i="7"/>
  <c r="J32" i="7"/>
  <c r="K32" i="7" s="1"/>
  <c r="J17" i="7"/>
  <c r="K17" i="7" s="1"/>
  <c r="J28" i="7"/>
  <c r="K28" i="7" s="1"/>
  <c r="J21" i="7"/>
  <c r="K21" i="7" s="1"/>
  <c r="J24" i="7"/>
  <c r="K24" i="7" s="1"/>
  <c r="J16" i="7"/>
  <c r="K16" i="7" s="1"/>
  <c r="J31" i="7"/>
  <c r="K31" i="7" s="1"/>
  <c r="J18" i="7"/>
  <c r="K18" i="7" s="1"/>
  <c r="J20" i="7"/>
  <c r="K20" i="7" s="1"/>
  <c r="J12" i="7"/>
  <c r="K12" i="7" s="1"/>
  <c r="J36" i="7"/>
  <c r="K36" i="7" s="1"/>
  <c r="J22" i="7"/>
  <c r="K22" i="7" s="1"/>
  <c r="J37" i="7"/>
  <c r="K37" i="7" s="1"/>
  <c r="J15" i="7"/>
  <c r="K15" i="7" s="1"/>
  <c r="J38" i="7"/>
  <c r="K38" i="7" s="1"/>
  <c r="J13" i="7"/>
  <c r="K13" i="7" s="1"/>
  <c r="J34" i="7"/>
  <c r="K34" i="7" s="1"/>
  <c r="J29" i="7"/>
  <c r="K29" i="7" s="1"/>
  <c r="J11" i="7"/>
  <c r="K11" i="7" s="1"/>
  <c r="K14" i="7"/>
  <c r="J30" i="7"/>
  <c r="K30" i="7" s="1"/>
  <c r="J23" i="7"/>
  <c r="K23" i="7" s="1"/>
  <c r="J33" i="7"/>
  <c r="K33" i="7" s="1"/>
  <c r="J10" i="7"/>
  <c r="K10" i="7" s="1"/>
  <c r="J26" i="7"/>
  <c r="K26" i="7" s="1"/>
  <c r="J27" i="7"/>
  <c r="K27" i="7" s="1"/>
  <c r="J25" i="7"/>
  <c r="K25" i="7" s="1"/>
  <c r="J19" i="7"/>
  <c r="K19" i="7" s="1"/>
  <c r="J35" i="7"/>
  <c r="K35" i="7" s="1"/>
  <c r="Q46" i="6"/>
  <c r="I21" i="6"/>
  <c r="J21" i="6" s="1"/>
  <c r="I27" i="6"/>
  <c r="J27" i="6" s="1"/>
  <c r="O39" i="6"/>
  <c r="I36" i="6"/>
  <c r="J36" i="6" s="1"/>
  <c r="O12" i="6"/>
  <c r="I15" i="6"/>
  <c r="J15" i="6" s="1"/>
  <c r="I35" i="6"/>
  <c r="J35" i="6" s="1"/>
  <c r="I23" i="6"/>
  <c r="J23" i="6" s="1"/>
  <c r="I24" i="6"/>
  <c r="J24" i="6" s="1"/>
  <c r="R46" i="6"/>
  <c r="I17" i="6"/>
  <c r="J17" i="6" s="1"/>
  <c r="I31" i="6"/>
  <c r="J31" i="6" s="1"/>
  <c r="I26" i="6"/>
  <c r="J26" i="6" s="1"/>
  <c r="I12" i="6"/>
  <c r="J12" i="6" s="1"/>
  <c r="I20" i="6"/>
  <c r="J20" i="6" s="1"/>
  <c r="I37" i="6"/>
  <c r="J37" i="6" s="1"/>
  <c r="I13" i="6"/>
  <c r="J13" i="6" s="1"/>
  <c r="I14" i="6"/>
  <c r="J14" i="6" s="1"/>
  <c r="I25" i="6"/>
  <c r="J25" i="6" s="1"/>
  <c r="I19" i="6"/>
  <c r="J19" i="6" s="1"/>
  <c r="I28" i="6"/>
  <c r="J28" i="6" s="1"/>
  <c r="I29" i="6"/>
  <c r="J29" i="6" s="1"/>
  <c r="I34" i="6"/>
  <c r="J34" i="6" s="1"/>
  <c r="I16" i="6"/>
  <c r="J16" i="6" s="1"/>
  <c r="I38" i="6"/>
  <c r="J38" i="6" s="1"/>
  <c r="I11" i="6"/>
  <c r="J11" i="6" s="1"/>
  <c r="I22" i="6"/>
  <c r="J22" i="6" s="1"/>
  <c r="I32" i="6"/>
  <c r="J32" i="6" s="1"/>
  <c r="I33" i="6"/>
  <c r="J33" i="6" s="1"/>
  <c r="I30" i="6"/>
  <c r="J30" i="6" s="1"/>
  <c r="I18" i="6"/>
  <c r="J18" i="6" s="1"/>
  <c r="D81" i="2"/>
  <c r="N59" i="2"/>
  <c r="M59" i="2"/>
  <c r="H59" i="2"/>
  <c r="I59" i="2" s="1"/>
  <c r="N68" i="2"/>
  <c r="M68" i="2"/>
  <c r="H68" i="2"/>
  <c r="I68" i="2" s="1"/>
  <c r="N65" i="2"/>
  <c r="M65" i="2"/>
  <c r="H65" i="2"/>
  <c r="I65" i="2" s="1"/>
  <c r="N55" i="2"/>
  <c r="M55" i="2"/>
  <c r="H55" i="2"/>
  <c r="I55" i="2" s="1"/>
  <c r="N57" i="2"/>
  <c r="M57" i="2"/>
  <c r="H57" i="2"/>
  <c r="I57" i="2" s="1"/>
  <c r="N77" i="2"/>
  <c r="M77" i="2"/>
  <c r="H77" i="2"/>
  <c r="I77" i="2" s="1"/>
  <c r="N70" i="2"/>
  <c r="M70" i="2"/>
  <c r="H70" i="2"/>
  <c r="I70" i="2" s="1"/>
  <c r="N74" i="2"/>
  <c r="M74" i="2"/>
  <c r="H74" i="2"/>
  <c r="I74" i="2" s="1"/>
  <c r="N73" i="2"/>
  <c r="M73" i="2"/>
  <c r="H73" i="2"/>
  <c r="I73" i="2" s="1"/>
  <c r="N62" i="2"/>
  <c r="M62" i="2"/>
  <c r="H62" i="2"/>
  <c r="I62" i="2" s="1"/>
  <c r="N60" i="2"/>
  <c r="M60" i="2"/>
  <c r="H60" i="2"/>
  <c r="I60" i="2" s="1"/>
  <c r="N61" i="2"/>
  <c r="M61" i="2"/>
  <c r="H61" i="2"/>
  <c r="I61" i="2" s="1"/>
  <c r="N67" i="2"/>
  <c r="M67" i="2"/>
  <c r="H67" i="2"/>
  <c r="I67" i="2" s="1"/>
  <c r="N56" i="2"/>
  <c r="M56" i="2"/>
  <c r="H56" i="2"/>
  <c r="I56" i="2" s="1"/>
  <c r="N78" i="2"/>
  <c r="M78" i="2"/>
  <c r="H78" i="2"/>
  <c r="I78" i="2" s="1"/>
  <c r="N64" i="2"/>
  <c r="M64" i="2"/>
  <c r="H64" i="2"/>
  <c r="I64" i="2" s="1"/>
  <c r="N69" i="2"/>
  <c r="M69" i="2"/>
  <c r="H69" i="2"/>
  <c r="I69" i="2" s="1"/>
  <c r="N76" i="2"/>
  <c r="M76" i="2"/>
  <c r="H76" i="2"/>
  <c r="I76" i="2" s="1"/>
  <c r="N79" i="2"/>
  <c r="M79" i="2"/>
  <c r="H79" i="2"/>
  <c r="I79" i="2" s="1"/>
  <c r="N54" i="2"/>
  <c r="M54" i="2"/>
  <c r="H54" i="2"/>
  <c r="I54" i="2" s="1"/>
  <c r="N72" i="2"/>
  <c r="M72" i="2"/>
  <c r="H72" i="2"/>
  <c r="I72" i="2" s="1"/>
  <c r="N58" i="2"/>
  <c r="M58" i="2"/>
  <c r="H58" i="2"/>
  <c r="I58" i="2" s="1"/>
  <c r="N52" i="2"/>
  <c r="M52" i="2"/>
  <c r="H52" i="2"/>
  <c r="I52" i="2" s="1"/>
  <c r="N75" i="2"/>
  <c r="M75" i="2"/>
  <c r="H75" i="2"/>
  <c r="I75" i="2" s="1"/>
  <c r="N53" i="2"/>
  <c r="M53" i="2"/>
  <c r="H53" i="2"/>
  <c r="I53" i="2" s="1"/>
  <c r="N63" i="2"/>
  <c r="M63" i="2"/>
  <c r="H63" i="2"/>
  <c r="I63" i="2" s="1"/>
  <c r="N66" i="2"/>
  <c r="M66" i="2"/>
  <c r="H66" i="2"/>
  <c r="I66" i="2" s="1"/>
  <c r="N71" i="2"/>
  <c r="M71" i="2"/>
  <c r="H71" i="2"/>
  <c r="I71" i="2" s="1"/>
  <c r="N80" i="2"/>
  <c r="M80" i="2"/>
  <c r="M81" i="2" s="1"/>
  <c r="H80" i="2"/>
  <c r="I80" i="2" s="1"/>
  <c r="O45" i="3"/>
  <c r="O44" i="3"/>
  <c r="N45" i="3"/>
  <c r="N44" i="3"/>
  <c r="M45" i="3"/>
  <c r="M44" i="3"/>
  <c r="P46" i="2"/>
  <c r="P45" i="2"/>
  <c r="P44" i="2"/>
  <c r="O45" i="2"/>
  <c r="O44" i="2"/>
  <c r="G4" i="3"/>
  <c r="G2" i="3" s="1"/>
  <c r="J10" i="3"/>
  <c r="K10" i="3"/>
  <c r="J11" i="3"/>
  <c r="K11" i="3"/>
  <c r="J12" i="3"/>
  <c r="K12" i="3"/>
  <c r="J13" i="3"/>
  <c r="K13" i="3"/>
  <c r="J14" i="3"/>
  <c r="K14" i="3"/>
  <c r="J15" i="3"/>
  <c r="K15" i="3"/>
  <c r="J16" i="3"/>
  <c r="K16" i="3"/>
  <c r="J17" i="3"/>
  <c r="K17" i="3"/>
  <c r="J18" i="3"/>
  <c r="K18" i="3"/>
  <c r="J19" i="3"/>
  <c r="K19" i="3"/>
  <c r="J20" i="3"/>
  <c r="K20" i="3"/>
  <c r="J21" i="3"/>
  <c r="K21" i="3"/>
  <c r="J22" i="3"/>
  <c r="K22" i="3"/>
  <c r="J23" i="3"/>
  <c r="K23" i="3"/>
  <c r="J24" i="3"/>
  <c r="K24" i="3"/>
  <c r="J25" i="3"/>
  <c r="K25" i="3"/>
  <c r="J26" i="3"/>
  <c r="K26" i="3"/>
  <c r="J27" i="3"/>
  <c r="K27" i="3"/>
  <c r="J28" i="3"/>
  <c r="K28" i="3"/>
  <c r="J29" i="3"/>
  <c r="K29" i="3"/>
  <c r="J30" i="3"/>
  <c r="K30" i="3"/>
  <c r="J31" i="3"/>
  <c r="K31" i="3"/>
  <c r="J32" i="3"/>
  <c r="K32" i="3"/>
  <c r="J33" i="3"/>
  <c r="K33" i="3"/>
  <c r="J34" i="3"/>
  <c r="K34" i="3"/>
  <c r="J35" i="3"/>
  <c r="K35" i="3"/>
  <c r="J36" i="3"/>
  <c r="K36" i="3"/>
  <c r="J37" i="3"/>
  <c r="K37" i="3"/>
  <c r="J38" i="3"/>
  <c r="K38" i="3"/>
  <c r="D39" i="3"/>
  <c r="D7" i="4" l="1"/>
  <c r="G5" i="4"/>
  <c r="E5" i="4"/>
  <c r="F5" i="4"/>
  <c r="K39" i="7"/>
  <c r="J39" i="6"/>
  <c r="F3" i="4" s="1"/>
  <c r="F6" i="4" s="1"/>
  <c r="N81" i="2"/>
  <c r="I81" i="2"/>
  <c r="N46" i="3"/>
  <c r="O46" i="3"/>
  <c r="J39" i="3"/>
  <c r="G10" i="3"/>
  <c r="H10" i="3" s="1"/>
  <c r="G11" i="3"/>
  <c r="H11" i="3" s="1"/>
  <c r="G12" i="3"/>
  <c r="H12" i="3" s="1"/>
  <c r="G13" i="3"/>
  <c r="H13" i="3" s="1"/>
  <c r="G14" i="3"/>
  <c r="H14" i="3" s="1"/>
  <c r="G15" i="3"/>
  <c r="H15" i="3" s="1"/>
  <c r="G16" i="3"/>
  <c r="H16" i="3" s="1"/>
  <c r="G17" i="3"/>
  <c r="H17" i="3" s="1"/>
  <c r="G18" i="3"/>
  <c r="H18" i="3" s="1"/>
  <c r="G19" i="3"/>
  <c r="H19" i="3" s="1"/>
  <c r="G20" i="3"/>
  <c r="H20" i="3" s="1"/>
  <c r="G21" i="3"/>
  <c r="H21" i="3" s="1"/>
  <c r="G22" i="3"/>
  <c r="H22" i="3" s="1"/>
  <c r="G23" i="3"/>
  <c r="H23" i="3" s="1"/>
  <c r="G24" i="3"/>
  <c r="H24" i="3" s="1"/>
  <c r="G25" i="3"/>
  <c r="H25" i="3" s="1"/>
  <c r="G26" i="3"/>
  <c r="H26" i="3" s="1"/>
  <c r="G27" i="3"/>
  <c r="H27" i="3" s="1"/>
  <c r="G28" i="3"/>
  <c r="H28" i="3" s="1"/>
  <c r="G29" i="3"/>
  <c r="H29" i="3" s="1"/>
  <c r="G30" i="3"/>
  <c r="H30" i="3" s="1"/>
  <c r="G31" i="3"/>
  <c r="H31" i="3" s="1"/>
  <c r="G32" i="3"/>
  <c r="H32" i="3" s="1"/>
  <c r="G33" i="3"/>
  <c r="H33" i="3" s="1"/>
  <c r="G34" i="3"/>
  <c r="H34" i="3" s="1"/>
  <c r="G35" i="3"/>
  <c r="H35" i="3" s="1"/>
  <c r="G36" i="3"/>
  <c r="H36" i="3" s="1"/>
  <c r="G37" i="3"/>
  <c r="H37" i="3" s="1"/>
  <c r="G38" i="3"/>
  <c r="H38" i="3" s="1"/>
  <c r="G6" i="4" l="1"/>
  <c r="C14" i="4" s="1"/>
  <c r="H39" i="3"/>
  <c r="M38" i="2"/>
  <c r="H4" i="2"/>
  <c r="H2" i="2" s="1"/>
  <c r="M29" i="2"/>
  <c r="M26" i="2"/>
  <c r="M25" i="2"/>
  <c r="M27" i="2"/>
  <c r="M35" i="2"/>
  <c r="M36" i="2"/>
  <c r="M19" i="2"/>
  <c r="M28" i="2"/>
  <c r="M37" i="2"/>
  <c r="M22" i="2"/>
  <c r="M30" i="2"/>
  <c r="M24" i="2"/>
  <c r="M31" i="2"/>
  <c r="M18" i="2"/>
  <c r="M13" i="2"/>
  <c r="M21" i="2"/>
  <c r="M11" i="2"/>
  <c r="M33" i="2"/>
  <c r="M34" i="2"/>
  <c r="M23" i="2"/>
  <c r="M20" i="2"/>
  <c r="M32" i="2"/>
  <c r="M15" i="2"/>
  <c r="M16" i="2"/>
  <c r="M17" i="2"/>
  <c r="M12" i="2"/>
  <c r="M10" i="2"/>
  <c r="G7" i="4" l="1"/>
  <c r="H24" i="2"/>
  <c r="I24" i="2" s="1"/>
  <c r="H10" i="2"/>
  <c r="I10" i="2" s="1"/>
  <c r="H37" i="2"/>
  <c r="I37" i="2" s="1"/>
  <c r="H36" i="2"/>
  <c r="I36" i="2" s="1"/>
  <c r="H18" i="2"/>
  <c r="I18" i="2" s="1"/>
  <c r="H28" i="2"/>
  <c r="I28" i="2" s="1"/>
  <c r="H23" i="2"/>
  <c r="I23" i="2" s="1"/>
  <c r="H21" i="2"/>
  <c r="I21" i="2" s="1"/>
  <c r="H16" i="2"/>
  <c r="I16" i="2" s="1"/>
  <c r="H34" i="2"/>
  <c r="I34" i="2" s="1"/>
  <c r="H14" i="2"/>
  <c r="I14" i="2" s="1"/>
  <c r="H20" i="2"/>
  <c r="I20" i="2" s="1"/>
  <c r="H35" i="2"/>
  <c r="I35" i="2" s="1"/>
  <c r="H26" i="2"/>
  <c r="I26" i="2" s="1"/>
  <c r="H29" i="2"/>
  <c r="I29" i="2" s="1"/>
  <c r="H33" i="2"/>
  <c r="I33" i="2" s="1"/>
  <c r="H12" i="2"/>
  <c r="I12" i="2" s="1"/>
  <c r="H22" i="2"/>
  <c r="I22" i="2" s="1"/>
  <c r="H19" i="2"/>
  <c r="I19" i="2" s="1"/>
  <c r="H32" i="2"/>
  <c r="I32" i="2" s="1"/>
  <c r="H13" i="2"/>
  <c r="I13" i="2" s="1"/>
  <c r="I38" i="2"/>
  <c r="H11" i="2"/>
  <c r="I11" i="2" s="1"/>
  <c r="H30" i="2"/>
  <c r="I30" i="2" s="1"/>
  <c r="H27" i="2"/>
  <c r="I27" i="2" s="1"/>
  <c r="H25" i="2"/>
  <c r="I25" i="2" s="1"/>
  <c r="H31" i="2"/>
  <c r="I31" i="2" s="1"/>
  <c r="H15" i="2"/>
  <c r="I15" i="2" s="1"/>
  <c r="H17" i="2"/>
  <c r="I17" i="2" s="1"/>
  <c r="N45" i="2"/>
  <c r="N44" i="2"/>
  <c r="D39" i="2"/>
  <c r="I39" i="2" l="1"/>
  <c r="E3" i="4" s="1"/>
  <c r="E6" i="4" s="1"/>
  <c r="O46" i="2"/>
  <c r="M14" i="2"/>
  <c r="E7" i="4" l="1"/>
  <c r="F7" i="4"/>
  <c r="M39" i="2"/>
</calcChain>
</file>

<file path=xl/sharedStrings.xml><?xml version="1.0" encoding="utf-8"?>
<sst xmlns="http://schemas.openxmlformats.org/spreadsheetml/2006/main" count="402" uniqueCount="103">
  <si>
    <t xml:space="preserve">TITRES </t>
  </si>
  <si>
    <t>BETA</t>
  </si>
  <si>
    <t>NOMBRES</t>
  </si>
  <si>
    <t>SANOFI</t>
  </si>
  <si>
    <t>CAPGEMINI</t>
  </si>
  <si>
    <t>L'OREAL</t>
  </si>
  <si>
    <t>DANONE</t>
  </si>
  <si>
    <t>BOUYGUES</t>
  </si>
  <si>
    <t>PONDERATION</t>
  </si>
  <si>
    <t>VALEUR DU PORTEFEUILLE</t>
  </si>
  <si>
    <t>Nbre d'actions</t>
  </si>
  <si>
    <t>Béta pondéré</t>
  </si>
  <si>
    <t>AIRBUS</t>
  </si>
  <si>
    <t>LVMH</t>
  </si>
  <si>
    <t>TOTALEnergies SE</t>
  </si>
  <si>
    <t>AIR LIQUIDE SA</t>
  </si>
  <si>
    <t>SCHNEIDER ELECTRIC SE</t>
  </si>
  <si>
    <t>VINCI SA</t>
  </si>
  <si>
    <t>HERMES</t>
  </si>
  <si>
    <t>KERING</t>
  </si>
  <si>
    <t>SAFRAN</t>
  </si>
  <si>
    <t xml:space="preserve">STMicroelectronics </t>
  </si>
  <si>
    <t>NEOEN</t>
  </si>
  <si>
    <t xml:space="preserve">PERNOD RICARD </t>
  </si>
  <si>
    <t>DASSAULT</t>
  </si>
  <si>
    <t>BNP PARIBAS</t>
  </si>
  <si>
    <t>CARREFOUR</t>
  </si>
  <si>
    <t>SAINT GOBAIN</t>
  </si>
  <si>
    <t>COVIVIO</t>
  </si>
  <si>
    <t>THALES</t>
  </si>
  <si>
    <t>Virbac</t>
  </si>
  <si>
    <t xml:space="preserve">ESSILORLUXOTTICA </t>
  </si>
  <si>
    <t>AUBAY</t>
  </si>
  <si>
    <t>CATANA GROUPE</t>
  </si>
  <si>
    <t>PUBLICIS GROUPE</t>
  </si>
  <si>
    <t>WALLIX GROUP</t>
  </si>
  <si>
    <t xml:space="preserve">Montant </t>
  </si>
  <si>
    <t xml:space="preserve">Actif </t>
  </si>
  <si>
    <t>Actions</t>
  </si>
  <si>
    <t xml:space="preserve">Monétaire </t>
  </si>
  <si>
    <t>Beta Pondéré</t>
  </si>
  <si>
    <t>Obligations</t>
  </si>
  <si>
    <t>Libellé</t>
  </si>
  <si>
    <t>Taux Coupon</t>
  </si>
  <si>
    <t>Maturité</t>
  </si>
  <si>
    <t>Date Coupon</t>
  </si>
  <si>
    <t xml:space="preserve">Rendement </t>
  </si>
  <si>
    <t>Date achat</t>
  </si>
  <si>
    <t>Montant</t>
  </si>
  <si>
    <t xml:space="preserve">OAT 10 ans </t>
  </si>
  <si>
    <t xml:space="preserve">OAT 5 ans </t>
  </si>
  <si>
    <t xml:space="preserve">Nbre de titre </t>
  </si>
  <si>
    <t xml:space="preserve">Actions </t>
  </si>
  <si>
    <t>Pondération</t>
  </si>
  <si>
    <t xml:space="preserve">TOTAL </t>
  </si>
  <si>
    <t>TOTAL</t>
  </si>
  <si>
    <t>COURS 27/01</t>
  </si>
  <si>
    <t>COURS 31/01</t>
  </si>
  <si>
    <t>1.692,50</t>
  </si>
  <si>
    <t xml:space="preserve">Performance </t>
  </si>
  <si>
    <t>COURS 07/02</t>
  </si>
  <si>
    <t>Colonne1</t>
  </si>
  <si>
    <t>Cours du 31/01</t>
  </si>
  <si>
    <t xml:space="preserve">Cours du 27/01  </t>
  </si>
  <si>
    <t>Colonne2</t>
  </si>
  <si>
    <t>Cours du 07/02</t>
  </si>
  <si>
    <t xml:space="preserve">Composants du portefeuille </t>
  </si>
  <si>
    <t xml:space="preserve">Obligations </t>
  </si>
  <si>
    <t xml:space="preserve">Date </t>
  </si>
  <si>
    <t xml:space="preserve">Valeur du portefeuillle </t>
  </si>
  <si>
    <t>RENAULT</t>
  </si>
  <si>
    <t>Colonne3</t>
  </si>
  <si>
    <t xml:space="preserve">Actions ( après arbitrage) </t>
  </si>
  <si>
    <t>Actions ( avant arbitrage )</t>
  </si>
  <si>
    <t>Performance</t>
  </si>
  <si>
    <t>COURS 13/02</t>
  </si>
  <si>
    <t xml:space="preserve">Actions ( avant arbitrage) </t>
  </si>
  <si>
    <t>Cours 13/02</t>
  </si>
  <si>
    <t xml:space="preserve">Performance du portefeuille </t>
  </si>
  <si>
    <t>COURS 07/03</t>
  </si>
  <si>
    <t>Colonne4</t>
  </si>
  <si>
    <t>Cours 07/03</t>
  </si>
  <si>
    <t>LEGRAND</t>
  </si>
  <si>
    <t>-</t>
  </si>
  <si>
    <t xml:space="preserve">Achat </t>
  </si>
  <si>
    <t xml:space="preserve">Vente </t>
  </si>
  <si>
    <t xml:space="preserve">Nombre d'action </t>
  </si>
  <si>
    <t>Profit/perte</t>
  </si>
  <si>
    <t>Nombre d'actions</t>
  </si>
  <si>
    <t>Sortie de portefeuille</t>
  </si>
  <si>
    <t>Entrée en portefeuille</t>
  </si>
  <si>
    <t xml:space="preserve">cours d'achat </t>
  </si>
  <si>
    <t>Nombre d'action</t>
  </si>
  <si>
    <t>Valeur de la postion</t>
  </si>
  <si>
    <t xml:space="preserve">Benchmark : CAC 40 </t>
  </si>
  <si>
    <t xml:space="preserve">Variation du portefeuille </t>
  </si>
  <si>
    <t xml:space="preserve">sous performance </t>
  </si>
  <si>
    <t>sur performance</t>
  </si>
  <si>
    <t>sous performance</t>
  </si>
  <si>
    <t>Variation du benchmark</t>
  </si>
  <si>
    <t>Comparaison benchmark/portefeuille</t>
  </si>
  <si>
    <t>Variation global benchmark (21/01 - 07/03)</t>
  </si>
  <si>
    <t>variation global Portefeuille (21/01 - 07/03)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</si>
</sst>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&quot;yr&quot;"/>
    <numFmt numFmtId="165" formatCode="#,##0.00\ &quot;€&quot;"/>
    <numFmt numFmtId="166" formatCode="_-* #,##0.00\ _€_-;\-* #,##0.00\ _€_-;_-* &quot;-&quot;??\ _€_-;_-@_-"/>
    <numFmt numFmtId="167" formatCode="_-* #,##0.0000\ _€_-;\-* #,##0.0000\ _€_-;_-* &quot;-&quot;??\ _€_-;_-@_-"/>
    <numFmt numFmtId="168" formatCode="0.000%"/>
    <numFmt numFmtId="169" formatCode="_-* #,##0.00\ [$€-40C]_-;\-* #,##0.00\ [$€-40C]_-;_-* &quot;-&quot;??\ [$€-40C]_-;_-@_-"/>
    <numFmt numFmtId="170" formatCode="0.0%"/>
    <numFmt numFmtId="171" formatCode="0.0000%"/>
    <numFmt numFmtId="172" formatCode="0.000000%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Geneva"/>
      <family val="2"/>
    </font>
    <font>
      <b/>
      <sz val="10"/>
      <name val="Times New Roman"/>
      <family val="1"/>
    </font>
    <font>
      <b/>
      <sz val="11"/>
      <name val="Calibri (Corps)"/>
    </font>
    <font>
      <sz val="10"/>
      <color theme="1"/>
      <name val="Times New Roman"/>
      <family val="1"/>
    </font>
    <font>
      <sz val="9"/>
      <name val="Arial"/>
      <family val="2"/>
    </font>
    <font>
      <sz val="11"/>
      <name val="Arial"/>
      <family val="2"/>
    </font>
    <font>
      <sz val="1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Arial"/>
      <family val="2"/>
    </font>
    <font>
      <sz val="9"/>
      <color rgb="FF222222"/>
      <name val="NbRegular"/>
    </font>
    <font>
      <b/>
      <sz val="10"/>
      <color rgb="FFFF0000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rgb="FF8EA9DB"/>
      </top>
      <bottom style="thin">
        <color rgb="FF8EA9DB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157">
    <xf numFmtId="0" fontId="0" fillId="0" borderId="0" xfId="0"/>
    <xf numFmtId="0" fontId="0" fillId="0" borderId="1" xfId="0" applyBorder="1"/>
    <xf numFmtId="44" fontId="2" fillId="2" borderId="1" xfId="1" applyFont="1" applyFill="1" applyBorder="1" applyAlignment="1">
      <alignment horizontal="center"/>
    </xf>
    <xf numFmtId="43" fontId="2" fillId="2" borderId="1" xfId="2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readingOrder="1"/>
    </xf>
    <xf numFmtId="0" fontId="10" fillId="0" borderId="1" xfId="0" applyFont="1" applyBorder="1" applyAlignment="1">
      <alignment horizontal="center" vertical="center"/>
    </xf>
    <xf numFmtId="0" fontId="11" fillId="0" borderId="1" xfId="4" applyFont="1" applyBorder="1" applyAlignment="1">
      <alignment horizontal="center" vertical="center"/>
    </xf>
    <xf numFmtId="0" fontId="11" fillId="0" borderId="1" xfId="4" quotePrefix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5" fontId="0" fillId="0" borderId="1" xfId="0" applyNumberFormat="1" applyBorder="1"/>
    <xf numFmtId="44" fontId="0" fillId="0" borderId="1" xfId="1" applyFont="1" applyBorder="1"/>
    <xf numFmtId="0" fontId="4" fillId="0" borderId="1" xfId="0" applyFont="1" applyBorder="1"/>
    <xf numFmtId="164" fontId="6" fillId="0" borderId="1" xfId="4" applyNumberFormat="1" applyFont="1" applyBorder="1"/>
    <xf numFmtId="0" fontId="6" fillId="0" borderId="1" xfId="0" applyFont="1" applyBorder="1"/>
    <xf numFmtId="0" fontId="7" fillId="0" borderId="1" xfId="0" applyFont="1" applyBorder="1"/>
    <xf numFmtId="44" fontId="0" fillId="0" borderId="0" xfId="1" applyFont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1" fillId="0" borderId="1" xfId="4" applyFont="1" applyBorder="1" applyAlignment="1">
      <alignment horizontal="center"/>
    </xf>
    <xf numFmtId="14" fontId="8" fillId="0" borderId="1" xfId="0" applyNumberFormat="1" applyFont="1" applyBorder="1"/>
    <xf numFmtId="167" fontId="8" fillId="0" borderId="1" xfId="2" applyNumberFormat="1" applyFont="1" applyFill="1" applyBorder="1"/>
    <xf numFmtId="43" fontId="8" fillId="0" borderId="1" xfId="2" applyFont="1" applyFill="1" applyBorder="1"/>
    <xf numFmtId="0" fontId="14" fillId="2" borderId="1" xfId="0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vertical="center" wrapText="1"/>
    </xf>
    <xf numFmtId="166" fontId="0" fillId="0" borderId="1" xfId="0" applyNumberFormat="1" applyBorder="1"/>
    <xf numFmtId="0" fontId="13" fillId="0" borderId="1" xfId="0" applyFont="1" applyBorder="1" applyAlignment="1">
      <alignment horizontal="center" vertical="center"/>
    </xf>
    <xf numFmtId="4" fontId="16" fillId="0" borderId="1" xfId="0" applyNumberFormat="1" applyFont="1" applyBorder="1"/>
    <xf numFmtId="165" fontId="15" fillId="0" borderId="1" xfId="0" applyNumberFormat="1" applyFont="1" applyBorder="1"/>
    <xf numFmtId="164" fontId="17" fillId="0" borderId="1" xfId="4" applyNumberFormat="1" applyFont="1" applyBorder="1"/>
    <xf numFmtId="0" fontId="17" fillId="0" borderId="1" xfId="0" applyFont="1" applyBorder="1"/>
    <xf numFmtId="10" fontId="0" fillId="0" borderId="0" xfId="0" applyNumberFormat="1"/>
    <xf numFmtId="10" fontId="14" fillId="2" borderId="1" xfId="0" applyNumberFormat="1" applyFont="1" applyFill="1" applyBorder="1" applyAlignment="1">
      <alignment horizontal="center" vertical="center" wrapText="1"/>
    </xf>
    <xf numFmtId="168" fontId="0" fillId="0" borderId="0" xfId="3" applyNumberFormat="1" applyFont="1"/>
    <xf numFmtId="0" fontId="3" fillId="0" borderId="1" xfId="0" applyFont="1" applyBorder="1"/>
    <xf numFmtId="10" fontId="3" fillId="0" borderId="1" xfId="0" applyNumberFormat="1" applyFont="1" applyBorder="1"/>
    <xf numFmtId="9" fontId="0" fillId="0" borderId="1" xfId="0" applyNumberFormat="1" applyBorder="1"/>
    <xf numFmtId="166" fontId="0" fillId="5" borderId="1" xfId="0" applyNumberFormat="1" applyFill="1" applyBorder="1"/>
    <xf numFmtId="10" fontId="0" fillId="0" borderId="1" xfId="3" applyNumberFormat="1" applyFont="1" applyBorder="1"/>
    <xf numFmtId="0" fontId="1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0" fontId="3" fillId="0" borderId="0" xfId="0" applyNumberFormat="1" applyFont="1"/>
    <xf numFmtId="0" fontId="3" fillId="0" borderId="0" xfId="0" applyFont="1"/>
    <xf numFmtId="44" fontId="2" fillId="2" borderId="0" xfId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10" fontId="4" fillId="0" borderId="2" xfId="3" applyNumberFormat="1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7" fillId="0" borderId="8" xfId="0" applyFont="1" applyBorder="1"/>
    <xf numFmtId="10" fontId="0" fillId="0" borderId="8" xfId="3" applyNumberFormat="1" applyFont="1" applyBorder="1"/>
    <xf numFmtId="0" fontId="10" fillId="0" borderId="8" xfId="0" applyFont="1" applyBorder="1" applyAlignment="1">
      <alignment horizontal="center" vertical="center"/>
    </xf>
    <xf numFmtId="43" fontId="2" fillId="2" borderId="8" xfId="2" applyFont="1" applyFill="1" applyBorder="1" applyAlignment="1">
      <alignment horizontal="center"/>
    </xf>
    <xf numFmtId="44" fontId="2" fillId="2" borderId="8" xfId="1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0" fontId="4" fillId="0" borderId="9" xfId="3" applyNumberFormat="1" applyFont="1" applyBorder="1" applyAlignment="1">
      <alignment horizontal="center"/>
    </xf>
    <xf numFmtId="0" fontId="18" fillId="2" borderId="5" xfId="0" applyFont="1" applyFill="1" applyBorder="1" applyAlignment="1">
      <alignment horizontal="center"/>
    </xf>
    <xf numFmtId="0" fontId="18" fillId="2" borderId="6" xfId="0" applyFont="1" applyFill="1" applyBorder="1" applyAlignment="1">
      <alignment horizontal="center"/>
    </xf>
    <xf numFmtId="10" fontId="18" fillId="2" borderId="6" xfId="0" applyNumberFormat="1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/>
    </xf>
    <xf numFmtId="44" fontId="2" fillId="6" borderId="1" xfId="1" applyFont="1" applyFill="1" applyBorder="1" applyAlignment="1">
      <alignment horizontal="center"/>
    </xf>
    <xf numFmtId="10" fontId="19" fillId="2" borderId="1" xfId="0" applyNumberFormat="1" applyFont="1" applyFill="1" applyBorder="1" applyAlignment="1">
      <alignment horizontal="center"/>
    </xf>
    <xf numFmtId="0" fontId="21" fillId="7" borderId="11" xfId="0" applyFont="1" applyFill="1" applyBorder="1" applyAlignment="1">
      <alignment horizontal="right"/>
    </xf>
    <xf numFmtId="0" fontId="21" fillId="3" borderId="11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10" fillId="0" borderId="1" xfId="0" applyFont="1" applyBorder="1" applyAlignment="1">
      <alignment horizontal="right" vertical="center"/>
    </xf>
    <xf numFmtId="0" fontId="0" fillId="3" borderId="0" xfId="0" applyFill="1" applyAlignment="1">
      <alignment horizontal="right"/>
    </xf>
    <xf numFmtId="0" fontId="22" fillId="0" borderId="0" xfId="0" applyFont="1" applyAlignment="1">
      <alignment horizontal="right"/>
    </xf>
    <xf numFmtId="0" fontId="11" fillId="0" borderId="1" xfId="0" applyFont="1" applyBorder="1" applyAlignment="1">
      <alignment horizontal="right" vertical="center"/>
    </xf>
    <xf numFmtId="14" fontId="8" fillId="0" borderId="1" xfId="2" applyNumberFormat="1" applyFont="1" applyBorder="1"/>
    <xf numFmtId="0" fontId="14" fillId="0" borderId="1" xfId="0" applyFont="1" applyBorder="1" applyAlignment="1">
      <alignment horizontal="center" vertical="center"/>
    </xf>
    <xf numFmtId="168" fontId="0" fillId="0" borderId="1" xfId="3" applyNumberFormat="1" applyFont="1" applyBorder="1"/>
    <xf numFmtId="168" fontId="4" fillId="0" borderId="1" xfId="0" applyNumberFormat="1" applyFont="1" applyBorder="1"/>
    <xf numFmtId="0" fontId="23" fillId="0" borderId="1" xfId="0" applyFont="1" applyBorder="1"/>
    <xf numFmtId="0" fontId="13" fillId="0" borderId="1" xfId="0" applyFont="1" applyBorder="1"/>
    <xf numFmtId="169" fontId="23" fillId="0" borderId="1" xfId="0" applyNumberFormat="1" applyFont="1" applyBorder="1"/>
    <xf numFmtId="44" fontId="23" fillId="0" borderId="1" xfId="0" applyNumberFormat="1" applyFont="1" applyBorder="1"/>
    <xf numFmtId="14" fontId="13" fillId="0" borderId="1" xfId="0" applyNumberFormat="1" applyFont="1" applyBorder="1"/>
    <xf numFmtId="0" fontId="10" fillId="0" borderId="0" xfId="0" applyFont="1" applyAlignment="1">
      <alignment horizontal="right" vertical="center"/>
    </xf>
    <xf numFmtId="0" fontId="0" fillId="0" borderId="1" xfId="0" applyBorder="1" applyAlignment="1">
      <alignment horizontal="right"/>
    </xf>
    <xf numFmtId="0" fontId="21" fillId="7" borderId="1" xfId="0" applyFont="1" applyFill="1" applyBorder="1" applyAlignment="1">
      <alignment horizontal="right"/>
    </xf>
    <xf numFmtId="0" fontId="22" fillId="0" borderId="11" xfId="0" applyFont="1" applyBorder="1" applyAlignment="1">
      <alignment horizontal="right"/>
    </xf>
    <xf numFmtId="0" fontId="21" fillId="7" borderId="0" xfId="0" applyFont="1" applyFill="1" applyAlignment="1">
      <alignment horizontal="right"/>
    </xf>
    <xf numFmtId="0" fontId="8" fillId="0" borderId="11" xfId="0" applyFont="1" applyBorder="1" applyAlignment="1">
      <alignment horizontal="right"/>
    </xf>
    <xf numFmtId="0" fontId="22" fillId="0" borderId="1" xfId="0" applyFont="1" applyBorder="1" applyAlignment="1">
      <alignment horizontal="right"/>
    </xf>
    <xf numFmtId="0" fontId="10" fillId="3" borderId="0" xfId="0" applyFont="1" applyFill="1" applyAlignment="1">
      <alignment horizontal="right" vertical="center" readingOrder="1"/>
    </xf>
    <xf numFmtId="0" fontId="21" fillId="3" borderId="1" xfId="0" applyFont="1" applyFill="1" applyBorder="1" applyAlignment="1">
      <alignment horizontal="right"/>
    </xf>
    <xf numFmtId="0" fontId="14" fillId="0" borderId="8" xfId="0" applyFont="1" applyBorder="1"/>
    <xf numFmtId="0" fontId="22" fillId="0" borderId="12" xfId="0" applyFont="1" applyBorder="1" applyAlignment="1">
      <alignment horizontal="right"/>
    </xf>
    <xf numFmtId="0" fontId="21" fillId="3" borderId="12" xfId="0" applyFont="1" applyFill="1" applyBorder="1" applyAlignment="1">
      <alignment horizontal="right"/>
    </xf>
    <xf numFmtId="0" fontId="21" fillId="7" borderId="12" xfId="0" applyFont="1" applyFill="1" applyBorder="1" applyAlignment="1">
      <alignment horizontal="right"/>
    </xf>
    <xf numFmtId="0" fontId="14" fillId="0" borderId="1" xfId="0" applyFont="1" applyBorder="1"/>
    <xf numFmtId="0" fontId="0" fillId="0" borderId="11" xfId="0" applyBorder="1" applyAlignment="1">
      <alignment horizontal="right"/>
    </xf>
    <xf numFmtId="0" fontId="21" fillId="3" borderId="0" xfId="0" applyFont="1" applyFill="1" applyAlignment="1">
      <alignment horizontal="right"/>
    </xf>
    <xf numFmtId="0" fontId="10" fillId="0" borderId="11" xfId="0" applyFont="1" applyBorder="1" applyAlignment="1">
      <alignment horizontal="right" vertical="center"/>
    </xf>
    <xf numFmtId="0" fontId="8" fillId="0" borderId="0" xfId="0" applyFont="1" applyAlignment="1">
      <alignment horizontal="right"/>
    </xf>
    <xf numFmtId="0" fontId="0" fillId="0" borderId="12" xfId="0" applyBorder="1" applyAlignment="1">
      <alignment horizontal="right"/>
    </xf>
    <xf numFmtId="0" fontId="10" fillId="0" borderId="12" xfId="0" applyFont="1" applyBorder="1" applyAlignment="1">
      <alignment horizontal="right" vertical="center"/>
    </xf>
    <xf numFmtId="0" fontId="10" fillId="3" borderId="8" xfId="0" applyFont="1" applyFill="1" applyBorder="1" applyAlignment="1">
      <alignment horizontal="center" vertical="center" readingOrder="1"/>
    </xf>
    <xf numFmtId="0" fontId="11" fillId="0" borderId="11" xfId="0" applyFont="1" applyBorder="1" applyAlignment="1">
      <alignment horizontal="right" vertical="center"/>
    </xf>
    <xf numFmtId="0" fontId="0" fillId="3" borderId="1" xfId="0" applyFill="1" applyBorder="1" applyAlignment="1">
      <alignment horizontal="right"/>
    </xf>
    <xf numFmtId="0" fontId="10" fillId="3" borderId="1" xfId="0" applyFont="1" applyFill="1" applyBorder="1" applyAlignment="1">
      <alignment horizontal="right" vertical="center" readingOrder="1"/>
    </xf>
    <xf numFmtId="0" fontId="11" fillId="0" borderId="12" xfId="0" applyFont="1" applyBorder="1" applyAlignment="1">
      <alignment horizontal="right" vertical="center"/>
    </xf>
    <xf numFmtId="169" fontId="0" fillId="0" borderId="1" xfId="0" applyNumberFormat="1" applyBorder="1"/>
    <xf numFmtId="44" fontId="0" fillId="0" borderId="1" xfId="0" applyNumberFormat="1" applyBorder="1"/>
    <xf numFmtId="0" fontId="13" fillId="8" borderId="1" xfId="0" applyFont="1" applyFill="1" applyBorder="1"/>
    <xf numFmtId="0" fontId="0" fillId="3" borderId="11" xfId="0" applyFill="1" applyBorder="1" applyAlignment="1">
      <alignment horizontal="right"/>
    </xf>
    <xf numFmtId="0" fontId="0" fillId="3" borderId="12" xfId="0" applyFill="1" applyBorder="1" applyAlignment="1">
      <alignment horizontal="right"/>
    </xf>
    <xf numFmtId="170" fontId="4" fillId="0" borderId="2" xfId="3" applyNumberFormat="1" applyFont="1" applyBorder="1" applyAlignment="1">
      <alignment horizontal="center"/>
    </xf>
    <xf numFmtId="170" fontId="4" fillId="0" borderId="9" xfId="3" applyNumberFormat="1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164" fontId="14" fillId="0" borderId="1" xfId="4" applyNumberFormat="1" applyFont="1" applyBorder="1"/>
    <xf numFmtId="0" fontId="10" fillId="3" borderId="11" xfId="0" applyFont="1" applyFill="1" applyBorder="1" applyAlignment="1">
      <alignment horizontal="right" vertical="center" readingOrder="1"/>
    </xf>
    <xf numFmtId="0" fontId="10" fillId="3" borderId="12" xfId="0" applyFont="1" applyFill="1" applyBorder="1" applyAlignment="1">
      <alignment horizontal="right" vertical="center" readingOrder="1"/>
    </xf>
    <xf numFmtId="10" fontId="0" fillId="0" borderId="1" xfId="3" quotePrefix="1" applyNumberFormat="1" applyFont="1" applyBorder="1"/>
    <xf numFmtId="0" fontId="11" fillId="0" borderId="8" xfId="4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8" fillId="0" borderId="12" xfId="0" applyFont="1" applyBorder="1" applyAlignment="1">
      <alignment horizontal="right"/>
    </xf>
    <xf numFmtId="10" fontId="0" fillId="0" borderId="1" xfId="0" applyNumberFormat="1" applyBorder="1"/>
    <xf numFmtId="0" fontId="25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right"/>
    </xf>
    <xf numFmtId="0" fontId="4" fillId="0" borderId="0" xfId="0" applyFont="1"/>
    <xf numFmtId="10" fontId="1" fillId="0" borderId="8" xfId="3" applyNumberFormat="1" applyFont="1" applyBorder="1"/>
    <xf numFmtId="0" fontId="12" fillId="4" borderId="0" xfId="0" applyFont="1" applyFill="1" applyAlignment="1">
      <alignment vertical="center"/>
    </xf>
    <xf numFmtId="0" fontId="12" fillId="4" borderId="10" xfId="0" applyFont="1" applyFill="1" applyBorder="1" applyAlignment="1">
      <alignment vertical="center"/>
    </xf>
    <xf numFmtId="168" fontId="0" fillId="9" borderId="0" xfId="3" applyNumberFormat="1" applyFont="1" applyFill="1"/>
    <xf numFmtId="168" fontId="0" fillId="10" borderId="0" xfId="3" applyNumberFormat="1" applyFont="1" applyFill="1"/>
    <xf numFmtId="168" fontId="1" fillId="10" borderId="0" xfId="3" applyNumberFormat="1" applyFont="1" applyFill="1"/>
    <xf numFmtId="168" fontId="0" fillId="10" borderId="1" xfId="3" applyNumberFormat="1" applyFont="1" applyFill="1" applyBorder="1"/>
    <xf numFmtId="168" fontId="0" fillId="9" borderId="1" xfId="3" applyNumberFormat="1" applyFont="1" applyFill="1" applyBorder="1"/>
    <xf numFmtId="0" fontId="13" fillId="0" borderId="14" xfId="0" applyFont="1" applyBorder="1"/>
    <xf numFmtId="172" fontId="0" fillId="0" borderId="1" xfId="3" applyNumberFormat="1" applyFont="1" applyBorder="1"/>
    <xf numFmtId="171" fontId="0" fillId="0" borderId="1" xfId="3" applyNumberFormat="1" applyFont="1" applyBorder="1"/>
    <xf numFmtId="0" fontId="12" fillId="4" borderId="0" xfId="0" applyFont="1" applyFill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/>
    </xf>
    <xf numFmtId="0" fontId="13" fillId="2" borderId="1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8" borderId="3" xfId="0" applyFont="1" applyFill="1" applyBorder="1" applyAlignment="1">
      <alignment horizontal="center"/>
    </xf>
    <xf numFmtId="0" fontId="13" fillId="8" borderId="10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10" fontId="4" fillId="0" borderId="0" xfId="3" applyNumberFormat="1" applyFont="1" applyFill="1" applyBorder="1" applyAlignment="1">
      <alignment horizontal="center"/>
    </xf>
    <xf numFmtId="10" fontId="19" fillId="0" borderId="0" xfId="0" applyNumberFormat="1" applyFont="1" applyFill="1" applyBorder="1" applyAlignment="1">
      <alignment horizontal="center"/>
    </xf>
    <xf numFmtId="0" fontId="12" fillId="4" borderId="9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</cellXfs>
  <cellStyles count="5">
    <cellStyle name="Milliers" xfId="2" builtinId="3"/>
    <cellStyle name="Monétaire" xfId="1" builtinId="4"/>
    <cellStyle name="Normal" xfId="0" builtinId="0"/>
    <cellStyle name="Normal_Zeros" xfId="4" xr:uid="{4BBE6D0E-54F6-440B-B6A4-E90F1445AF38}"/>
    <cellStyle name="Pourcentage" xfId="3" builtinId="5"/>
  </cellStyles>
  <dxfs count="1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4" formatCode="_-* #,##0.00\ &quot;€&quot;_-;\-* #,##0.00\ &quot;€&quot;_-;_-* &quot;-&quot;??\ &quot;€&quot;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5" formatCode="_-* #,##0.00_-;\-* #,##0.0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auto="1"/>
        </top>
        <bottom style="thin">
          <color auto="1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4" formatCode="_-* #,##0.00\ &quot;€&quot;_-;\-* #,##0.00\ &quot;€&quot;_-;_-* &quot;-&quot;??\ &quot;€&quot;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5" formatCode="_-* #,##0.00_-;\-* #,##0.0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auto="1"/>
        </top>
        <bottom style="thin">
          <color auto="1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4" formatCode="_-* #,##0.00\ &quot;€&quot;_-;\-* #,##0.00\ &quot;€&quot;_-;_-* &quot;-&quot;??\ &quot;€&quot;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5" formatCode="_-* #,##0.00_-;\-* #,##0.0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auto="1"/>
        </top>
        <bottom style="thin">
          <color auto="1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4" formatCode="_-* #,##0.00\ &quot;€&quot;_-;\-* #,##0.00\ &quot;€&quot;_-;_-* &quot;-&quot;??\ &quot;€&quot;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5" formatCode="_-* #,##0.00_-;\-* #,##0.0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4" formatCode="_-* #,##0.00\ &quot;€&quot;_-;\-* #,##0.00\ &quot;€&quot;_-;_-* &quot;-&quot;??\ &quot;€&quot;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5" formatCode="_-* #,##0.00_-;\-* #,##0.0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5" formatCode="_-* #,##0.00_-;\-* #,##0.0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</xdr:row>
      <xdr:rowOff>12700</xdr:rowOff>
    </xdr:from>
    <xdr:to>
      <xdr:col>8</xdr:col>
      <xdr:colOff>609600</xdr:colOff>
      <xdr:row>22</xdr:row>
      <xdr:rowOff>57150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7C11D224-000F-2270-88C9-A827B0E1ED15}"/>
            </a:ext>
          </a:extLst>
        </xdr:cNvPr>
        <xdr:cNvSpPr txBox="1"/>
      </xdr:nvSpPr>
      <xdr:spPr>
        <a:xfrm>
          <a:off x="247650" y="196850"/>
          <a:ext cx="6457950" cy="391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/>
            <a:t>Ce projet s'inscrit dans le cadre d'un cours de </a:t>
          </a:r>
          <a:r>
            <a:rPr lang="fr-FR" b="1"/>
            <a:t>gestion de portefeuille dynamique</a:t>
          </a:r>
          <a:r>
            <a:rPr lang="fr-FR"/>
            <a:t> en Finance de Marché.</a:t>
          </a:r>
        </a:p>
        <a:p>
          <a:endParaRPr lang="fr-FR"/>
        </a:p>
        <a:p>
          <a:r>
            <a:rPr lang="fr-FR"/>
            <a:t> En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tant que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Gestionnaire de portefeuille d'actifs</a:t>
          </a:r>
          <a:r>
            <a:rPr lang="fr-F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fr-F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</a:t>
          </a:r>
          <a:r>
            <a:rPr lang="fr-FR"/>
            <a:t>'objectif est de simuler la gestion active d'un portefeuille institutionnel fictif de </a:t>
          </a:r>
          <a:r>
            <a:rPr lang="fr-FR" b="1"/>
            <a:t>100 000 000 €</a:t>
          </a:r>
          <a:r>
            <a:rPr lang="fr-FR"/>
            <a:t> en appliquant des techniques d'arbitrage à intervalles réguliers, sur la période du </a:t>
          </a:r>
          <a:r>
            <a:rPr lang="fr-FR" b="1"/>
            <a:t>27 janvier au 07 mars 2023</a:t>
          </a:r>
          <a:r>
            <a:rPr lang="fr-FR"/>
            <a:t>.</a:t>
          </a:r>
        </a:p>
        <a:p>
          <a:r>
            <a:rPr lang="fr-FR"/>
            <a:t>Les compétences mobilisées incluent :</a:t>
          </a:r>
        </a:p>
        <a:p>
          <a:endParaRPr lang="fr-FR"/>
        </a:p>
        <a:p>
          <a:r>
            <a:rPr lang="fr-FR" b="1"/>
            <a:t>Stratégie d'allocation fondamentale</a:t>
          </a:r>
          <a:r>
            <a:rPr lang="fr-FR"/>
            <a:t> : analyse des fondamentaux des entreprises, rendement des OAT, sensibilité au marché (bêta)</a:t>
          </a:r>
        </a:p>
        <a:p>
          <a:r>
            <a:rPr lang="fr-FR" b="1"/>
            <a:t>Revue hebdomadaire de marché</a:t>
          </a:r>
          <a:r>
            <a:rPr lang="fr-FR"/>
            <a:t> : suivi des actions, obligations, devises (FX), instruments à taux fixe (Fixed Income), indices majeurs et produits dérivés</a:t>
          </a:r>
        </a:p>
        <a:p>
          <a:r>
            <a:rPr lang="fr-FR" b="1"/>
            <a:t>Analyse de scénarios d'investissement</a:t>
          </a:r>
          <a:r>
            <a:rPr lang="fr-FR"/>
            <a:t> : anticipation des mouvements de marché pour orienter les décisions d'arbitrage</a:t>
          </a:r>
        </a:p>
        <a:p>
          <a:r>
            <a:rPr lang="fr-FR" b="1"/>
            <a:t>Reporting hebdomadaire</a:t>
          </a:r>
          <a:r>
            <a:rPr lang="fr-FR"/>
            <a:t> : documentation des arbitrages réalisés, justification des entrées/sorties de titres et suivi de la performance vs benchmark</a:t>
          </a:r>
        </a:p>
        <a:p>
          <a:endParaRPr lang="fr-FR" sz="1100"/>
        </a:p>
      </xdr:txBody>
    </xdr:sp>
    <xdr:clientData/>
  </xdr:twoCellAnchor>
  <xdr:twoCellAnchor>
    <xdr:from>
      <xdr:col>10</xdr:col>
      <xdr:colOff>95250</xdr:colOff>
      <xdr:row>1</xdr:row>
      <xdr:rowOff>114300</xdr:rowOff>
    </xdr:from>
    <xdr:to>
      <xdr:col>15</xdr:col>
      <xdr:colOff>508000</xdr:colOff>
      <xdr:row>16</xdr:row>
      <xdr:rowOff>171450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603D0CFE-1AD8-3E6E-1B55-3E4FE01527F3}"/>
            </a:ext>
          </a:extLst>
        </xdr:cNvPr>
        <xdr:cNvSpPr txBox="1"/>
      </xdr:nvSpPr>
      <xdr:spPr>
        <a:xfrm>
          <a:off x="7715250" y="298450"/>
          <a:ext cx="4222750" cy="2819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b="1"/>
            <a:t>STRUCTURE DU PORTEFEUILLE</a:t>
          </a:r>
        </a:p>
        <a:p>
          <a:endParaRPr lang="fr-FR"/>
        </a:p>
        <a:p>
          <a:r>
            <a:rPr lang="fr-FR"/>
            <a:t>Le portefeuille est réparti en trois poches :</a:t>
          </a:r>
        </a:p>
        <a:p>
          <a:endParaRPr lang="fr-FR"/>
        </a:p>
        <a:p>
          <a:r>
            <a:rPr lang="fr-FR" b="1"/>
            <a:t>Actions</a:t>
          </a:r>
          <a:r>
            <a:rPr lang="fr-FR"/>
            <a:t> : 80 % → 80 000 000 €, investis sur 29 titres principalement issus du CAC 40</a:t>
          </a:r>
        </a:p>
        <a:p>
          <a:endParaRPr lang="fr-FR"/>
        </a:p>
        <a:p>
          <a:r>
            <a:rPr lang="fr-FR" b="1"/>
            <a:t>Obligations</a:t>
          </a:r>
          <a:r>
            <a:rPr lang="fr-FR"/>
            <a:t> : 10 % → 10 000 000 €, investis sur deux OAT françaises (OAT 10 ans à 2,00 % et OAT 5 ans à 0,75 %)</a:t>
          </a:r>
        </a:p>
        <a:p>
          <a:endParaRPr lang="fr-FR"/>
        </a:p>
        <a:p>
          <a:r>
            <a:rPr lang="fr-FR" b="1"/>
            <a:t>Monétaire</a:t>
          </a:r>
          <a:r>
            <a:rPr lang="fr-FR"/>
            <a:t> : 10 % → 10 000 000 €, maintenus constants comme réserve de trésorerie</a:t>
          </a:r>
        </a:p>
        <a:p>
          <a:endParaRPr lang="fr-FR"/>
        </a:p>
        <a:p>
          <a:r>
            <a:rPr lang="fr-FR"/>
            <a:t>Le benchmark de référence est le </a:t>
          </a:r>
          <a:r>
            <a:rPr lang="fr-FR" b="1"/>
            <a:t>CAC 40</a:t>
          </a:r>
          <a:r>
            <a:rPr lang="fr-FR"/>
            <a:t>.</a:t>
          </a:r>
        </a:p>
        <a:p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102720</xdr:colOff>
      <xdr:row>83</xdr:row>
      <xdr:rowOff>9338</xdr:rowOff>
    </xdr:from>
    <xdr:to>
      <xdr:col>15</xdr:col>
      <xdr:colOff>924484</xdr:colOff>
      <xdr:row>92</xdr:row>
      <xdr:rowOff>55655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CA5ABD99-878B-40F8-B007-B2213B6C675B}"/>
            </a:ext>
          </a:extLst>
        </xdr:cNvPr>
        <xdr:cNvSpPr txBox="1"/>
      </xdr:nvSpPr>
      <xdr:spPr>
        <a:xfrm>
          <a:off x="10019926" y="16332573"/>
          <a:ext cx="7367867" cy="17272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/>
            <a:t>Après une analyse fondamentale et une analyse financière de certaines entreprises, nous avons décidé de faire les modifications suivantes sur notre portefeuille :</a:t>
          </a:r>
        </a:p>
        <a:p>
          <a:r>
            <a:rPr lang="fr-FR" sz="1400"/>
            <a:t> 	• Vendre nos actions de Wallix Groupe au cours de 14,1 euros, ce qui nous fait au total</a:t>
          </a:r>
          <a:r>
            <a:rPr lang="fr-FR" sz="1400" baseline="0"/>
            <a:t> </a:t>
          </a:r>
          <a:r>
            <a:rPr lang="fr-FR" sz="1400"/>
            <a:t>1 097 713,20 euros</a:t>
          </a:r>
        </a:p>
        <a:p>
          <a:r>
            <a:rPr lang="fr-FR" sz="1400"/>
            <a:t>	• Diminuer la pondération de Total Energies de 1,5%, soit 20470 titres à 148 euros l’unité ce qui nous fait 	un montant total de 1 155 940, 9 euros de</a:t>
          </a:r>
          <a:r>
            <a:rPr lang="fr-FR" sz="1400" baseline="0"/>
            <a:t> </a:t>
          </a:r>
          <a:r>
            <a:rPr lang="fr-FR" sz="1400"/>
            <a:t>bénéfice.</a:t>
          </a:r>
        </a:p>
        <a:p>
          <a:r>
            <a:rPr lang="fr-FR" sz="1400"/>
            <a:t>	• Acheter des actions Renault, avec une pondération de 2,95%, ce qui va nous couter 2 359 996,65 euros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17</xdr:row>
      <xdr:rowOff>12700</xdr:rowOff>
    </xdr:from>
    <xdr:to>
      <xdr:col>6</xdr:col>
      <xdr:colOff>165100</xdr:colOff>
      <xdr:row>20</xdr:row>
      <xdr:rowOff>12700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6473D9E6-D217-CE6A-CB28-E7AB8574D980}"/>
            </a:ext>
          </a:extLst>
        </xdr:cNvPr>
        <xdr:cNvSpPr txBox="1"/>
      </xdr:nvSpPr>
      <xdr:spPr>
        <a:xfrm>
          <a:off x="3556000" y="3143250"/>
          <a:ext cx="4629150" cy="552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Le</a:t>
          </a:r>
          <a:r>
            <a:rPr lang="fr-FR" sz="1100" baseline="0"/>
            <a:t> portefeuille Sous-performe son benchmark. </a:t>
          </a:r>
          <a:endParaRPr lang="fr-F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282F82-C4F7-4CA8-BE3F-44194574936D}" name="Tableau13" displayName="Tableau13" ref="B9:K38" totalsRowShown="0" headerRowDxfId="114" headerRowBorderDxfId="113" tableBorderDxfId="112" totalsRowBorderDxfId="111">
  <autoFilter ref="B9:K38" xr:uid="{E01B81D3-BD03-4F5F-BFE5-0F3B7C56F417}"/>
  <sortState xmlns:xlrd2="http://schemas.microsoft.com/office/spreadsheetml/2017/richdata2" ref="B10:K38">
    <sortCondition descending="1" ref="K9:K38"/>
  </sortState>
  <tableColumns count="10">
    <tableColumn id="1" xr3:uid="{D7D7ABAC-64BC-4E6D-9790-B63CA759E91E}" name="NOMBRES" dataDxfId="110"/>
    <tableColumn id="2" xr3:uid="{21A7C059-0A58-4B41-93C5-8C2ACBADCB85}" name="TITRES " dataDxfId="109"/>
    <tableColumn id="3" xr3:uid="{47865A56-E954-4457-9E23-9011811A8432}" name="PONDERATION" dataDxfId="108" dataCellStyle="Pourcentage"/>
    <tableColumn id="4" xr3:uid="{C35647FA-0C1D-4635-851D-DBC1EAB29D67}" name="COURS 27/01" dataDxfId="107"/>
    <tableColumn id="5" xr3:uid="{633F066C-7B59-48EA-ACDE-93EE1AFF4380}" name="COURS 31/01" dataDxfId="106"/>
    <tableColumn id="6" xr3:uid="{2A5199CD-8CC1-4437-81F8-3FB7688212B9}" name="Nbre d'actions" dataDxfId="105" dataCellStyle="Milliers">
      <calculatedColumnFormula>ROUNDDOWN(D10*$G$2/E10,0)</calculatedColumnFormula>
    </tableColumn>
    <tableColumn id="7" xr3:uid="{86C8E725-D6C2-4887-82C1-E60CD2B6BD8C}" name="VALEUR DU PORTEFEUILLE" dataDxfId="104" dataCellStyle="Monétaire">
      <calculatedColumnFormula>G10*F10</calculatedColumnFormula>
    </tableColumn>
    <tableColumn id="8" xr3:uid="{91861CB6-62CF-441B-8E5A-5540EF801DDD}" name="BETA" dataDxfId="103"/>
    <tableColumn id="9" xr3:uid="{4B8F0DC5-233D-4DD4-9081-153BFFB79AAA}" name="Béta pondéré" dataDxfId="102">
      <calculatedColumnFormula>I10*D10</calculatedColumnFormula>
    </tableColumn>
    <tableColumn id="10" xr3:uid="{0F1BACFB-9C49-472D-84FD-62B12ABE29DC}" name="Performance " dataDxfId="101" dataCellStyle="Pourcentage">
      <calculatedColumnFormula>(F10-E10)/E10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1B81D3-BD03-4F5F-BFE5-0F3B7C56F417}" name="Tableau1" displayName="Tableau1" ref="B9:M38" totalsRowShown="0" headerRowDxfId="100" headerRowBorderDxfId="99" tableBorderDxfId="98" totalsRowBorderDxfId="97">
  <autoFilter ref="B9:M38" xr:uid="{E01B81D3-BD03-4F5F-BFE5-0F3B7C56F417}"/>
  <sortState xmlns:xlrd2="http://schemas.microsoft.com/office/spreadsheetml/2017/richdata2" ref="B10:N38">
    <sortCondition descending="1" ref="N9:N38"/>
  </sortState>
  <tableColumns count="12">
    <tableColumn id="1" xr3:uid="{D7D7ABAC-64BC-4E6D-9790-B63CA759E91E}" name="NOMBRES" dataDxfId="96"/>
    <tableColumn id="2" xr3:uid="{21A7C059-0A58-4B41-93C5-8C2ACBADCB85}" name="TITRES " dataDxfId="95"/>
    <tableColumn id="3" xr3:uid="{47865A56-E954-4457-9E23-9011811A8432}" name="PONDERATION" dataDxfId="94" dataCellStyle="Pourcentage"/>
    <tableColumn id="4" xr3:uid="{C35647FA-0C1D-4635-851D-DBC1EAB29D67}" name="COURS 27/01" dataDxfId="93"/>
    <tableColumn id="5" xr3:uid="{633F066C-7B59-48EA-ACDE-93EE1AFF4380}" name="COURS 31/01" dataDxfId="92"/>
    <tableColumn id="12" xr3:uid="{92A783C4-929C-46EB-88E4-379CCBC3FB70}" name="COURS 07/02" dataDxfId="91"/>
    <tableColumn id="6" xr3:uid="{2A5199CD-8CC1-4437-81F8-3FB7688212B9}" name="Nbre d'actions" dataDxfId="90" dataCellStyle="Milliers">
      <calculatedColumnFormula>ROUNDDOWN(D10*$H$2/Tableau1[[#This Row],[COURS 27/01]],0)</calculatedColumnFormula>
    </tableColumn>
    <tableColumn id="7" xr3:uid="{86C8E725-D6C2-4887-82C1-E60CD2B6BD8C}" name="VALEUR DU PORTEFEUILLE" dataDxfId="89" dataCellStyle="Monétaire">
      <calculatedColumnFormula>H10*Tableau1[[#This Row],[COURS 07/02]]</calculatedColumnFormula>
    </tableColumn>
    <tableColumn id="8" xr3:uid="{91861CB6-62CF-441B-8E5A-5540EF801DDD}" name="BETA" dataDxfId="88"/>
    <tableColumn id="13" xr3:uid="{E3E4430E-2A48-477C-84F0-68D149AD8269}" name="Colonne1" dataDxfId="87"/>
    <tableColumn id="14" xr3:uid="{0E9FC923-0C3B-40FF-BA20-EFD8C8201C29}" name="Colonne2" dataDxfId="86"/>
    <tableColumn id="9" xr3:uid="{4B8F0DC5-233D-4DD4-9081-153BFFB79AAA}" name="Béta pondéré" dataDxfId="0">
      <calculatedColumnFormula>J10*D10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4062A4-2314-45E9-91E0-BE746EBD8883}" name="Tableau14" displayName="Tableau14" ref="B51:N80" totalsRowShown="0" headerRowDxfId="85" headerRowBorderDxfId="84" tableBorderDxfId="83" totalsRowBorderDxfId="82">
  <autoFilter ref="B51:N80" xr:uid="{5B4062A4-2314-45E9-91E0-BE746EBD8883}"/>
  <sortState xmlns:xlrd2="http://schemas.microsoft.com/office/spreadsheetml/2017/richdata2" ref="B52:N80">
    <sortCondition descending="1" ref="N51:N80"/>
  </sortState>
  <tableColumns count="13">
    <tableColumn id="1" xr3:uid="{1D36F1CE-2EEB-417C-9C5B-F21F31DA4BED}" name="NOMBRES" dataDxfId="81"/>
    <tableColumn id="2" xr3:uid="{84E91E80-C073-4550-AB62-6EAAA6F0A8F1}" name="TITRES " dataDxfId="80"/>
    <tableColumn id="3" xr3:uid="{64075EF9-667B-47FE-AC2B-D1381D7879BB}" name="PONDERATION" dataDxfId="79" dataCellStyle="Pourcentage"/>
    <tableColumn id="4" xr3:uid="{05EBAADE-9DCA-4358-A1E0-FE04209C76CC}" name="COURS 27/01" dataDxfId="78"/>
    <tableColumn id="5" xr3:uid="{2E1751A4-52CE-46C8-95F9-0BB50E3F129D}" name="COURS 31/01" dataDxfId="77"/>
    <tableColumn id="12" xr3:uid="{15421BDB-CF1E-4567-B2C7-A33B318C2C13}" name="COURS 07/02" dataDxfId="76"/>
    <tableColumn id="6" xr3:uid="{028FAFE4-25AF-49D9-95C8-F455DB8E047E}" name="Nbre d'actions" dataDxfId="75" dataCellStyle="Milliers">
      <calculatedColumnFormula>ROUNDDOWN(D52*$H$2/Tableau14[[#This Row],[COURS 27/01]],0)</calculatedColumnFormula>
    </tableColumn>
    <tableColumn id="7" xr3:uid="{39A6AA5B-BE38-4A4C-BEE5-5AEC6341AEFF}" name="VALEUR DU PORTEFEUILLE" dataDxfId="74" dataCellStyle="Monétaire">
      <calculatedColumnFormula>H52*Tableau14[[#This Row],[COURS 07/02]]</calculatedColumnFormula>
    </tableColumn>
    <tableColumn id="8" xr3:uid="{EF5942EA-517F-43E1-B5AE-A2AAE9AA9F60}" name="BETA" dataDxfId="73"/>
    <tableColumn id="13" xr3:uid="{4EE1EF46-0FF3-4089-AFBD-27E3C50685F6}" name="Colonne1" dataDxfId="72"/>
    <tableColumn id="14" xr3:uid="{EABE2F38-90DC-4353-AA89-3599972CD2A5}" name="Colonne2" dataDxfId="71"/>
    <tableColumn id="9" xr3:uid="{B1F83939-F218-4E96-919E-F42502D74D92}" name="Béta pondéré" dataDxfId="70">
      <calculatedColumnFormula>J52*D52</calculatedColumnFormula>
    </tableColumn>
    <tableColumn id="10" xr3:uid="{D53A1A56-E210-4BD1-8563-32A5DBB87F63}" name="Performance " dataDxfId="69" dataCellStyle="Pourcentage">
      <calculatedColumnFormula>(Tableau14[[#This Row],[COURS 07/02]]-Tableau14[[#This Row],[COURS 31/01]])/Tableau14[[#This Row],[COURS 31/01]]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313AE8-7FA0-4C98-BE68-6169AB1F012E}" name="Tableau15" displayName="Tableau15" ref="B9:P38" totalsRowShown="0" headerRowDxfId="68" headerRowBorderDxfId="67" tableBorderDxfId="66" totalsRowBorderDxfId="65">
  <autoFilter ref="B9:P38" xr:uid="{E01B81D3-BD03-4F5F-BFE5-0F3B7C56F417}"/>
  <sortState xmlns:xlrd2="http://schemas.microsoft.com/office/spreadsheetml/2017/richdata2" ref="B10:P38">
    <sortCondition descending="1" ref="P9:P38"/>
  </sortState>
  <tableColumns count="15">
    <tableColumn id="1" xr3:uid="{C4AEA194-DCB9-4B85-B157-825FC2E5DDDF}" name="NOMBRES" dataDxfId="64"/>
    <tableColumn id="2" xr3:uid="{4BB7E92E-A7F5-4E47-9530-16231D606F2B}" name="TITRES " dataDxfId="63"/>
    <tableColumn id="3" xr3:uid="{66F384F6-8491-4388-8E69-3E01D035E815}" name="PONDERATION" dataDxfId="62" dataCellStyle="Pourcentage"/>
    <tableColumn id="4" xr3:uid="{5874F964-4364-47AC-B407-20230A054B9E}" name="COURS 27/01" dataDxfId="61"/>
    <tableColumn id="5" xr3:uid="{C4CD40A9-313A-4446-A546-80524B43D5DD}" name="COURS 31/01" dataDxfId="60"/>
    <tableColumn id="12" xr3:uid="{CC7D55E6-27B4-4063-9203-F09C60B4CD63}" name="COURS 07/02" dataDxfId="59"/>
    <tableColumn id="11" xr3:uid="{EBDFC08C-29CB-4BA4-86E0-1CB1A51BC902}" name="COURS 13/02"/>
    <tableColumn id="6" xr3:uid="{143743DC-C828-482A-B994-865A499A4BA3}" name="Nbre d'actions" dataDxfId="58" dataCellStyle="Milliers">
      <calculatedColumnFormula>ROUNDDOWN(D10*$I$2/Tableau15[[#This Row],[COURS 27/01]],0)</calculatedColumnFormula>
    </tableColumn>
    <tableColumn id="7" xr3:uid="{6893E868-B8A6-4648-9190-A82444E55266}" name="VALEUR DU PORTEFEUILLE" dataDxfId="57" dataCellStyle="Monétaire">
      <calculatedColumnFormula>I10*Tableau15[[#This Row],[COURS 13/02]]</calculatedColumnFormula>
    </tableColumn>
    <tableColumn id="8" xr3:uid="{476E86A8-70C4-420A-9A69-2A0617DFC84F}" name="BETA" dataDxfId="56"/>
    <tableColumn id="13" xr3:uid="{48642883-EAB6-490E-8DA1-DCD9B2A8C378}" name="Colonne1" dataDxfId="55"/>
    <tableColumn id="14" xr3:uid="{9454BABD-6C13-47EA-A74A-741FBDBB41CE}" name="Colonne2" dataDxfId="54"/>
    <tableColumn id="15" xr3:uid="{1155BD9E-BC43-4457-A977-79DEAE7DFCBF}" name="Colonne3" dataDxfId="53"/>
    <tableColumn id="9" xr3:uid="{B97EE7BF-0D59-4B3B-A44E-9091B3C031DD}" name="Béta pondéré" dataDxfId="52">
      <calculatedColumnFormula>K10*D10</calculatedColumnFormula>
    </tableColumn>
    <tableColumn id="10" xr3:uid="{562B108E-45DC-497B-BEB9-AC3666C174F9}" name="Performance" dataDxfId="51" dataCellStyle="Pourcentage">
      <calculatedColumnFormula>(Tableau15[[#This Row],[COURS 13/02]]-Tableau15[[#This Row],[COURS 07/02]])/Tableau15[[#This Row],[COURS 07/02]]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D79685-82E0-4B83-BD99-D20987A02E72}" name="Tableau156" displayName="Tableau156" ref="B9:R38" totalsRowShown="0" headerRowDxfId="50" headerRowBorderDxfId="49" tableBorderDxfId="48" totalsRowBorderDxfId="47">
  <autoFilter ref="B9:R38" xr:uid="{E01B81D3-BD03-4F5F-BFE5-0F3B7C56F417}"/>
  <sortState xmlns:xlrd2="http://schemas.microsoft.com/office/spreadsheetml/2017/richdata2" ref="B10:R38">
    <sortCondition ref="L9:L38"/>
  </sortState>
  <tableColumns count="17">
    <tableColumn id="1" xr3:uid="{21147280-764E-43BB-BC48-DBCB8A0E9EEF}" name="NOMBRES" dataDxfId="46"/>
    <tableColumn id="2" xr3:uid="{9432638C-D643-47EE-867C-BBF35C5913B7}" name="TITRES " dataDxfId="45"/>
    <tableColumn id="3" xr3:uid="{7C5C1E4D-C177-459E-B5B8-B30194B18484}" name="PONDERATION" dataDxfId="44" dataCellStyle="Pourcentage"/>
    <tableColumn id="4" xr3:uid="{97E77CE6-FCD4-4224-A589-FAD69DF6B563}" name="COURS 27/01" dataDxfId="43"/>
    <tableColumn id="5" xr3:uid="{5E7969B4-3574-4810-9E8B-DCA04466EF63}" name="COURS 31/01" dataDxfId="42"/>
    <tableColumn id="12" xr3:uid="{12A8886E-90A4-4844-8E63-9D00200D8B8B}" name="COURS 07/02" dataDxfId="41"/>
    <tableColumn id="11" xr3:uid="{FA1B3F65-8A92-41D2-AAAA-AD567065BCEE}" name="COURS 13/02"/>
    <tableColumn id="17" xr3:uid="{15BDBF19-A41E-4737-B75E-E420777372CD}" name="COURS 07/03"/>
    <tableColumn id="6" xr3:uid="{EFA64113-534C-4FCE-AA61-2C86142C9560}" name="Nbre d'actions" dataDxfId="40" dataCellStyle="Milliers">
      <calculatedColumnFormula>ROUNDDOWN(D10*$J$2/Tableau156[[#This Row],[COURS 27/01]],0)</calculatedColumnFormula>
    </tableColumn>
    <tableColumn id="7" xr3:uid="{73036495-9148-42D3-B7F6-FAEEB7F4D97B}" name="VALEUR DU PORTEFEUILLE" dataDxfId="39" dataCellStyle="Monétaire">
      <calculatedColumnFormula>J10*Tableau156[[#This Row],[COURS 07/03]]</calculatedColumnFormula>
    </tableColumn>
    <tableColumn id="8" xr3:uid="{2F6D0C19-AB66-4C84-9A1E-CB742546C3AF}" name="BETA" dataDxfId="38"/>
    <tableColumn id="13" xr3:uid="{C4F877B7-4890-43EA-A52C-F99F976AA3C3}" name="Colonne1" dataDxfId="37"/>
    <tableColumn id="14" xr3:uid="{1FCE2433-991B-4DA6-ADB8-86164B30837F}" name="Colonne2" dataDxfId="36"/>
    <tableColumn id="15" xr3:uid="{A8740E54-81B9-4368-A9CD-793B7C143753}" name="Colonne3" dataDxfId="35"/>
    <tableColumn id="18" xr3:uid="{9DEF2F81-77DE-4309-B419-E378B02CEE75}" name="Colonne4" dataDxfId="34"/>
    <tableColumn id="9" xr3:uid="{D3DF860A-7C11-4BA7-8C57-C74D58C365A3}" name="Béta pondéré" dataDxfId="33">
      <calculatedColumnFormula>L10*D10</calculatedColumnFormula>
    </tableColumn>
    <tableColumn id="10" xr3:uid="{7036E4BB-B3DB-44CA-85D9-881D3D3EA3C7}" name="Performance" dataDxfId="32" dataCellStyle="Pourcentage">
      <calculatedColumnFormula>(Tableau156[[#This Row],[COURS 07/03]]-Tableau156[[#This Row],[COURS 13/02]])/Tableau156[[#This Row],[COURS 13/02]]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3AD9A95-C25D-46E7-8BAF-D48C8236FFE8}" name="Tableau1567" displayName="Tableau1567" ref="B51:R80" totalsRowShown="0" headerRowDxfId="31" headerRowBorderDxfId="30" tableBorderDxfId="29" totalsRowBorderDxfId="28">
  <autoFilter ref="B51:R80" xr:uid="{13AD9A95-C25D-46E7-8BAF-D48C8236FFE8}"/>
  <sortState xmlns:xlrd2="http://schemas.microsoft.com/office/spreadsheetml/2017/richdata2" ref="B52:R80">
    <sortCondition descending="1" ref="Q51:Q80"/>
  </sortState>
  <tableColumns count="17">
    <tableColumn id="1" xr3:uid="{44700C8D-3545-4F6C-A74A-A1C03656CFE2}" name="NOMBRES" dataDxfId="27"/>
    <tableColumn id="2" xr3:uid="{73585212-DFFD-41FA-8448-B69F9707F75B}" name="TITRES " dataDxfId="26"/>
    <tableColumn id="3" xr3:uid="{E5F2EF41-5DB6-4D36-8493-3DA7639BB3D9}" name="PONDERATION" dataDxfId="25" dataCellStyle="Pourcentage"/>
    <tableColumn id="4" xr3:uid="{4D1274AE-974E-471C-AB88-2FD1DBA520D5}" name="COURS 27/01" dataDxfId="24"/>
    <tableColumn id="5" xr3:uid="{FEA6FA63-CE1E-4F87-B9BD-25D1B5B322C9}" name="COURS 31/01" dataDxfId="23"/>
    <tableColumn id="12" xr3:uid="{77230A59-41D5-4263-ADC1-2879F852743E}" name="COURS 07/02" dataDxfId="22"/>
    <tableColumn id="11" xr3:uid="{555D90B4-B817-44BB-A2C2-9CFD64DA8BD9}" name="COURS 13/02"/>
    <tableColumn id="17" xr3:uid="{56B91CAD-6278-49AE-BDA0-19D0FE6BCD57}" name="COURS 07/03"/>
    <tableColumn id="6" xr3:uid="{90894043-92FF-4259-8495-A6134444EC10}" name="Nbre d'actions" dataDxfId="21" dataCellStyle="Milliers">
      <calculatedColumnFormula>ROUNDDOWN(D52*$J$2/Tableau1567[[#This Row],[COURS 27/01]],0)</calculatedColumnFormula>
    </tableColumn>
    <tableColumn id="7" xr3:uid="{9D530B6E-28C7-4F22-AAC9-2C35441FBC9A}" name="VALEUR DU PORTEFEUILLE" dataDxfId="20" dataCellStyle="Monétaire">
      <calculatedColumnFormula>J52*Tableau1567[[#This Row],[COURS 07/03]]</calculatedColumnFormula>
    </tableColumn>
    <tableColumn id="8" xr3:uid="{C3081DFF-08B9-4BFA-88A7-E9705C48E007}" name="BETA" dataDxfId="19"/>
    <tableColumn id="13" xr3:uid="{1C74B817-7512-4D25-B7BF-A1DA6C5ECB17}" name="Colonne1" dataDxfId="18"/>
    <tableColumn id="14" xr3:uid="{783B9601-3A5B-45C7-B1DB-478297CD2A78}" name="Colonne2" dataDxfId="17"/>
    <tableColumn id="15" xr3:uid="{1ADC1BD6-C026-4565-873C-12E730AE549D}" name="Colonne3" dataDxfId="16"/>
    <tableColumn id="18" xr3:uid="{323373E0-75E1-4DC6-B5B7-5CF03107E3F2}" name="Colonne4" dataDxfId="15"/>
    <tableColumn id="9" xr3:uid="{88348FE4-8329-4DCF-BCD2-DD452D7D4ABF}" name="Béta pondéré" dataDxfId="14">
      <calculatedColumnFormula>L52*D52</calculatedColumnFormula>
    </tableColumn>
    <tableColumn id="10" xr3:uid="{745A1ED3-6875-4768-9DB4-43A1D7662BF9}" name="Performance" dataDxfId="13" dataCellStyle="Pourcentage">
      <calculatedColumnFormula>(Tableau1567[[#This Row],[COURS 07/03]]-Tableau1567[[#This Row],[COURS 13/02]])/Tableau1567[[#This Row],[COURS 13/02]]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7C8A1-95D7-4300-A066-940C600108AF}">
  <dimension ref="A1"/>
  <sheetViews>
    <sheetView tabSelected="1" workbookViewId="0">
      <selection activeCell="J3" sqref="J3"/>
    </sheetView>
  </sheetViews>
  <sheetFormatPr baseColWidth="10" defaultRowHeight="14.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F5CB-6F36-4DA7-A331-5BC737E06531}">
  <sheetPr codeName="Feuil1"/>
  <dimension ref="B1:O46"/>
  <sheetViews>
    <sheetView zoomScale="85" zoomScaleNormal="85" workbookViewId="0">
      <selection activeCell="D2" sqref="D2"/>
    </sheetView>
  </sheetViews>
  <sheetFormatPr baseColWidth="10" defaultRowHeight="14.5"/>
  <cols>
    <col min="2" max="2" width="14.453125" customWidth="1"/>
    <col min="3" max="3" width="24.81640625" bestFit="1" customWidth="1"/>
    <col min="4" max="4" width="20" style="34" customWidth="1"/>
    <col min="5" max="5" width="21.7265625" bestFit="1" customWidth="1"/>
    <col min="6" max="6" width="21.7265625" hidden="1" customWidth="1"/>
    <col min="7" max="7" width="21.1796875" bestFit="1" customWidth="1"/>
    <col min="8" max="8" width="34.26953125" customWidth="1"/>
    <col min="9" max="9" width="28.453125" customWidth="1"/>
    <col min="10" max="10" width="17.7265625" bestFit="1" customWidth="1"/>
    <col min="11" max="11" width="17.1796875" customWidth="1"/>
    <col min="12" max="12" width="20.453125" bestFit="1" customWidth="1"/>
    <col min="14" max="14" width="14.7265625" bestFit="1" customWidth="1"/>
    <col min="15" max="15" width="12.81640625" bestFit="1" customWidth="1"/>
  </cols>
  <sheetData>
    <row r="1" spans="2:12">
      <c r="E1" s="14" t="s">
        <v>37</v>
      </c>
      <c r="F1" s="14"/>
      <c r="G1" s="14" t="s">
        <v>36</v>
      </c>
    </row>
    <row r="2" spans="2:12">
      <c r="E2" s="1" t="s">
        <v>52</v>
      </c>
      <c r="F2" s="1"/>
      <c r="G2" s="12">
        <f>100000000-G4-G5-G3</f>
        <v>80000000</v>
      </c>
      <c r="J2" s="36"/>
    </row>
    <row r="3" spans="2:12">
      <c r="C3" s="34"/>
      <c r="E3" s="1" t="s">
        <v>41</v>
      </c>
      <c r="F3" s="1"/>
      <c r="G3" s="12">
        <v>10000000</v>
      </c>
    </row>
    <row r="4" spans="2:12">
      <c r="E4" s="1" t="s">
        <v>39</v>
      </c>
      <c r="F4" s="1"/>
      <c r="G4" s="12">
        <f>0.1*100000000</f>
        <v>10000000</v>
      </c>
      <c r="I4" s="34"/>
    </row>
    <row r="5" spans="2:12">
      <c r="E5" s="1"/>
      <c r="F5" s="1"/>
      <c r="G5" s="13"/>
    </row>
    <row r="6" spans="2:12">
      <c r="G6" s="18"/>
    </row>
    <row r="7" spans="2:12" ht="15" customHeight="1">
      <c r="B7" s="140" t="s">
        <v>38</v>
      </c>
      <c r="C7" s="140"/>
      <c r="D7" s="140"/>
      <c r="E7" s="140"/>
      <c r="F7" s="140"/>
      <c r="G7" s="140"/>
      <c r="H7" s="140"/>
      <c r="I7" s="140"/>
      <c r="J7" s="140"/>
      <c r="K7" s="146"/>
      <c r="L7" s="147"/>
    </row>
    <row r="8" spans="2:12" ht="18.75" customHeight="1">
      <c r="B8" s="140"/>
      <c r="C8" s="140"/>
      <c r="D8" s="140"/>
      <c r="E8" s="140"/>
      <c r="F8" s="140"/>
      <c r="G8" s="140"/>
      <c r="H8" s="140"/>
      <c r="I8" s="140"/>
      <c r="J8" s="140"/>
      <c r="K8" s="146"/>
      <c r="L8" s="147"/>
    </row>
    <row r="9" spans="2:12" ht="15.5">
      <c r="B9" s="60" t="s">
        <v>2</v>
      </c>
      <c r="C9" s="61" t="s">
        <v>0</v>
      </c>
      <c r="D9" s="62" t="s">
        <v>8</v>
      </c>
      <c r="E9" s="61" t="s">
        <v>56</v>
      </c>
      <c r="F9" s="61" t="s">
        <v>57</v>
      </c>
      <c r="G9" s="61" t="s">
        <v>10</v>
      </c>
      <c r="H9" s="61" t="s">
        <v>9</v>
      </c>
      <c r="I9" s="61" t="s">
        <v>1</v>
      </c>
      <c r="J9" s="61" t="s">
        <v>11</v>
      </c>
      <c r="K9" s="63" t="s">
        <v>59</v>
      </c>
    </row>
    <row r="10" spans="2:12" ht="15.5">
      <c r="B10" s="49">
        <v>29</v>
      </c>
      <c r="C10" s="33" t="s">
        <v>35</v>
      </c>
      <c r="D10" s="41">
        <v>1.4500000000000001E-2</v>
      </c>
      <c r="E10" s="8">
        <v>14.9</v>
      </c>
      <c r="F10" s="8">
        <v>15.88</v>
      </c>
      <c r="G10" s="3">
        <f t="shared" ref="G10:G38" si="0">ROUNDDOWN(D10*$G$2/E10,0)</f>
        <v>77852</v>
      </c>
      <c r="H10" s="2">
        <f t="shared" ref="H10:H38" si="1">G10*F10</f>
        <v>1236289.76</v>
      </c>
      <c r="I10" s="19">
        <v>1.38</v>
      </c>
      <c r="J10" s="4">
        <f t="shared" ref="J10:J38" si="2">I10*D10</f>
        <v>2.001E-2</v>
      </c>
      <c r="K10" s="50">
        <f t="shared" ref="K10:K38" si="3">(F10-E10)/E10</f>
        <v>6.5771812080536937E-2</v>
      </c>
    </row>
    <row r="11" spans="2:12" ht="15.5">
      <c r="B11" s="49">
        <v>1</v>
      </c>
      <c r="C11" s="32" t="s">
        <v>6</v>
      </c>
      <c r="D11" s="41">
        <v>2.8000000000000001E-2</v>
      </c>
      <c r="E11" s="5">
        <v>49.53</v>
      </c>
      <c r="F11" s="5">
        <v>50.25</v>
      </c>
      <c r="G11" s="3">
        <f t="shared" si="0"/>
        <v>45225</v>
      </c>
      <c r="H11" s="2">
        <f t="shared" si="1"/>
        <v>2272556.25</v>
      </c>
      <c r="I11" s="19">
        <v>0.49</v>
      </c>
      <c r="J11" s="4">
        <f t="shared" si="2"/>
        <v>1.372E-2</v>
      </c>
      <c r="K11" s="50">
        <f t="shared" si="3"/>
        <v>1.4536644457904277E-2</v>
      </c>
    </row>
    <row r="12" spans="2:12" ht="15.5">
      <c r="B12" s="49">
        <v>12</v>
      </c>
      <c r="C12" s="17" t="s">
        <v>19</v>
      </c>
      <c r="D12" s="41">
        <v>0.04</v>
      </c>
      <c r="E12" s="8">
        <v>557.70000000000005</v>
      </c>
      <c r="F12" s="8">
        <v>565.70000000000005</v>
      </c>
      <c r="G12" s="3">
        <f t="shared" si="0"/>
        <v>5737</v>
      </c>
      <c r="H12" s="2">
        <f t="shared" si="1"/>
        <v>3245420.9000000004</v>
      </c>
      <c r="I12" s="19">
        <v>1.07</v>
      </c>
      <c r="J12" s="4">
        <f t="shared" si="2"/>
        <v>4.2800000000000005E-2</v>
      </c>
      <c r="K12" s="50">
        <f t="shared" si="3"/>
        <v>1.4344629729245113E-2</v>
      </c>
    </row>
    <row r="13" spans="2:12" ht="15.5">
      <c r="B13" s="49">
        <v>16</v>
      </c>
      <c r="C13" s="16" t="s">
        <v>23</v>
      </c>
      <c r="D13" s="41">
        <v>0.05</v>
      </c>
      <c r="E13" s="8">
        <v>184.2</v>
      </c>
      <c r="F13" s="8">
        <v>186.3</v>
      </c>
      <c r="G13" s="3">
        <f t="shared" si="0"/>
        <v>21715</v>
      </c>
      <c r="H13" s="2">
        <f t="shared" si="1"/>
        <v>4045504.5000000005</v>
      </c>
      <c r="I13" s="19">
        <v>0.43</v>
      </c>
      <c r="J13" s="4">
        <f t="shared" si="2"/>
        <v>2.1500000000000002E-2</v>
      </c>
      <c r="K13" s="50">
        <f t="shared" si="3"/>
        <v>1.140065146579817E-2</v>
      </c>
    </row>
    <row r="14" spans="2:12" ht="15.5">
      <c r="B14" s="49">
        <v>17</v>
      </c>
      <c r="C14" s="16" t="s">
        <v>24</v>
      </c>
      <c r="D14" s="41">
        <v>3.4500000000000003E-2</v>
      </c>
      <c r="E14" s="8">
        <v>33.69</v>
      </c>
      <c r="F14" s="8">
        <v>34.06</v>
      </c>
      <c r="G14" s="3">
        <f t="shared" si="0"/>
        <v>81923</v>
      </c>
      <c r="H14" s="2">
        <f t="shared" si="1"/>
        <v>2790297.3800000004</v>
      </c>
      <c r="I14" s="19">
        <v>0.68899999999999995</v>
      </c>
      <c r="J14" s="4">
        <f t="shared" si="2"/>
        <v>2.37705E-2</v>
      </c>
      <c r="K14" s="50">
        <f t="shared" si="3"/>
        <v>1.0982487384980841E-2</v>
      </c>
    </row>
    <row r="15" spans="2:12" ht="15.5">
      <c r="B15" s="49">
        <v>18</v>
      </c>
      <c r="C15" s="33" t="s">
        <v>25</v>
      </c>
      <c r="D15" s="41">
        <v>1.4999999999999999E-2</v>
      </c>
      <c r="E15" s="8">
        <v>62.03</v>
      </c>
      <c r="F15" s="8">
        <v>62.66</v>
      </c>
      <c r="G15" s="3">
        <f t="shared" si="0"/>
        <v>19345</v>
      </c>
      <c r="H15" s="2">
        <f t="shared" si="1"/>
        <v>1212157.7</v>
      </c>
      <c r="I15" s="19">
        <v>1.73</v>
      </c>
      <c r="J15" s="4">
        <f t="shared" si="2"/>
        <v>2.5949999999999997E-2</v>
      </c>
      <c r="K15" s="50">
        <f t="shared" si="3"/>
        <v>1.0156375947122287E-2</v>
      </c>
    </row>
    <row r="16" spans="2:12" ht="15.5">
      <c r="B16" s="49">
        <v>27</v>
      </c>
      <c r="C16" s="16" t="s">
        <v>34</v>
      </c>
      <c r="D16" s="41">
        <v>0.05</v>
      </c>
      <c r="E16" s="7">
        <v>64.459999999999994</v>
      </c>
      <c r="F16" s="7">
        <v>65.040000000000006</v>
      </c>
      <c r="G16" s="3">
        <f t="shared" si="0"/>
        <v>62053</v>
      </c>
      <c r="H16" s="2">
        <f t="shared" si="1"/>
        <v>4035927.1200000006</v>
      </c>
      <c r="I16" s="19">
        <v>0.91300000000000003</v>
      </c>
      <c r="J16" s="4">
        <f t="shared" si="2"/>
        <v>4.5650000000000003E-2</v>
      </c>
      <c r="K16" s="50">
        <f t="shared" si="3"/>
        <v>8.9978281104562911E-3</v>
      </c>
    </row>
    <row r="17" spans="2:11" ht="15.5">
      <c r="B17" s="49">
        <v>24</v>
      </c>
      <c r="C17" s="33" t="s">
        <v>31</v>
      </c>
      <c r="D17" s="41">
        <v>1.4500000000000001E-2</v>
      </c>
      <c r="E17" s="8">
        <v>166.15</v>
      </c>
      <c r="F17" s="8">
        <v>167.25</v>
      </c>
      <c r="G17" s="3">
        <f t="shared" si="0"/>
        <v>6981</v>
      </c>
      <c r="H17" s="2">
        <f t="shared" si="1"/>
        <v>1167572.25</v>
      </c>
      <c r="I17" s="19">
        <v>0.91200000000000003</v>
      </c>
      <c r="J17" s="4">
        <f t="shared" si="2"/>
        <v>1.3224000000000001E-2</v>
      </c>
      <c r="K17" s="50">
        <f t="shared" si="3"/>
        <v>6.6205236232319848E-3</v>
      </c>
    </row>
    <row r="18" spans="2:11" ht="15.5">
      <c r="B18" s="49">
        <v>11</v>
      </c>
      <c r="C18" s="33" t="s">
        <v>7</v>
      </c>
      <c r="D18" s="41">
        <v>1.4999999999999999E-2</v>
      </c>
      <c r="E18" s="8">
        <v>30.25</v>
      </c>
      <c r="F18" s="8">
        <v>30.35</v>
      </c>
      <c r="G18" s="3">
        <f t="shared" si="0"/>
        <v>39669</v>
      </c>
      <c r="H18" s="2">
        <f t="shared" si="1"/>
        <v>1203954.1500000001</v>
      </c>
      <c r="I18" s="19">
        <v>0.95499999999999996</v>
      </c>
      <c r="J18" s="4">
        <f t="shared" si="2"/>
        <v>1.4324999999999999E-2</v>
      </c>
      <c r="K18" s="50">
        <f t="shared" si="3"/>
        <v>3.3057851239669893E-3</v>
      </c>
    </row>
    <row r="19" spans="2:11" ht="15.5">
      <c r="B19" s="49">
        <v>26</v>
      </c>
      <c r="C19" s="33" t="s">
        <v>33</v>
      </c>
      <c r="D19" s="41">
        <v>0.01</v>
      </c>
      <c r="E19" s="8">
        <v>6.48</v>
      </c>
      <c r="F19" s="8">
        <v>6.5</v>
      </c>
      <c r="G19" s="3">
        <f t="shared" si="0"/>
        <v>123456</v>
      </c>
      <c r="H19" s="2">
        <f t="shared" si="1"/>
        <v>802464</v>
      </c>
      <c r="I19" s="19">
        <v>1.7</v>
      </c>
      <c r="J19" s="4">
        <f t="shared" si="2"/>
        <v>1.7000000000000001E-2</v>
      </c>
      <c r="K19" s="50">
        <f t="shared" si="3"/>
        <v>3.0864197530863537E-3</v>
      </c>
    </row>
    <row r="20" spans="2:11" ht="15.5">
      <c r="B20" s="49">
        <v>9</v>
      </c>
      <c r="C20" s="16" t="s">
        <v>3</v>
      </c>
      <c r="D20" s="41">
        <v>0.05</v>
      </c>
      <c r="E20" s="9">
        <v>89.55</v>
      </c>
      <c r="F20" s="9">
        <v>89.73</v>
      </c>
      <c r="G20" s="3">
        <f t="shared" si="0"/>
        <v>44667</v>
      </c>
      <c r="H20" s="2">
        <f t="shared" si="1"/>
        <v>4007969.91</v>
      </c>
      <c r="I20" s="19">
        <v>0.41599999999999998</v>
      </c>
      <c r="J20" s="4">
        <f t="shared" si="2"/>
        <v>2.0799999999999999E-2</v>
      </c>
      <c r="K20" s="50">
        <f t="shared" si="3"/>
        <v>2.0100502512563575E-3</v>
      </c>
    </row>
    <row r="21" spans="2:11" ht="15.5">
      <c r="B21" s="49">
        <v>19</v>
      </c>
      <c r="C21" s="33" t="s">
        <v>26</v>
      </c>
      <c r="D21" s="41">
        <v>0.03</v>
      </c>
      <c r="E21" s="7">
        <v>17.510000000000002</v>
      </c>
      <c r="F21" s="7">
        <v>17.52</v>
      </c>
      <c r="G21" s="3">
        <f t="shared" si="0"/>
        <v>137064</v>
      </c>
      <c r="H21" s="2">
        <f t="shared" si="1"/>
        <v>2401361.2799999998</v>
      </c>
      <c r="I21" s="19">
        <v>0.54900000000000004</v>
      </c>
      <c r="J21" s="4">
        <f t="shared" si="2"/>
        <v>1.6470000000000002E-2</v>
      </c>
      <c r="K21" s="50">
        <f t="shared" si="3"/>
        <v>5.7110222729857274E-4</v>
      </c>
    </row>
    <row r="22" spans="2:11" ht="15.5">
      <c r="B22" s="49">
        <v>4</v>
      </c>
      <c r="C22" s="15" t="s">
        <v>5</v>
      </c>
      <c r="D22" s="41">
        <v>0.05</v>
      </c>
      <c r="E22" s="7">
        <v>378.45</v>
      </c>
      <c r="F22" s="7">
        <v>378.55</v>
      </c>
      <c r="G22" s="3">
        <f t="shared" si="0"/>
        <v>10569</v>
      </c>
      <c r="H22" s="2">
        <f t="shared" si="1"/>
        <v>4000894.95</v>
      </c>
      <c r="I22" s="19">
        <v>0.60399999999999998</v>
      </c>
      <c r="J22" s="4">
        <f t="shared" si="2"/>
        <v>3.0200000000000001E-2</v>
      </c>
      <c r="K22" s="50">
        <f t="shared" si="3"/>
        <v>2.6423569824289268E-4</v>
      </c>
    </row>
    <row r="23" spans="2:11" ht="15.5">
      <c r="B23" s="49">
        <v>10</v>
      </c>
      <c r="C23" s="15" t="s">
        <v>18</v>
      </c>
      <c r="D23" s="41">
        <v>0.05</v>
      </c>
      <c r="E23" s="11">
        <v>1697.5</v>
      </c>
      <c r="F23" s="11" t="s">
        <v>58</v>
      </c>
      <c r="G23" s="3">
        <f t="shared" si="0"/>
        <v>2356</v>
      </c>
      <c r="H23" s="2">
        <f t="shared" si="1"/>
        <v>3987530</v>
      </c>
      <c r="I23" s="19">
        <v>0.65700000000000003</v>
      </c>
      <c r="J23" s="4">
        <f t="shared" si="2"/>
        <v>3.2850000000000004E-2</v>
      </c>
      <c r="K23" s="50">
        <f t="shared" si="3"/>
        <v>-2.9455081001472753E-3</v>
      </c>
    </row>
    <row r="24" spans="2:11" ht="15.5">
      <c r="B24" s="49">
        <v>6</v>
      </c>
      <c r="C24" s="15" t="s">
        <v>15</v>
      </c>
      <c r="D24" s="41">
        <v>0.05</v>
      </c>
      <c r="E24" s="9">
        <v>148.26</v>
      </c>
      <c r="F24" s="9">
        <v>147.80000000000001</v>
      </c>
      <c r="G24" s="3">
        <f t="shared" si="0"/>
        <v>26979</v>
      </c>
      <c r="H24" s="2">
        <f t="shared" si="1"/>
        <v>3987496.2</v>
      </c>
      <c r="I24" s="19">
        <v>0.63600000000000001</v>
      </c>
      <c r="J24" s="4">
        <f t="shared" si="2"/>
        <v>3.1800000000000002E-2</v>
      </c>
      <c r="K24" s="50">
        <f t="shared" si="3"/>
        <v>-3.1026574935922001E-3</v>
      </c>
    </row>
    <row r="25" spans="2:11" ht="15.5">
      <c r="B25" s="49">
        <v>28</v>
      </c>
      <c r="C25" s="16" t="s">
        <v>4</v>
      </c>
      <c r="D25" s="41">
        <v>0.04</v>
      </c>
      <c r="E25" s="8">
        <v>173</v>
      </c>
      <c r="F25" s="8">
        <v>172.4</v>
      </c>
      <c r="G25" s="3">
        <f t="shared" si="0"/>
        <v>18497</v>
      </c>
      <c r="H25" s="2">
        <f t="shared" si="1"/>
        <v>3188882.8000000003</v>
      </c>
      <c r="I25" s="19">
        <v>1.1499999999999999</v>
      </c>
      <c r="J25" s="4">
        <f t="shared" si="2"/>
        <v>4.5999999999999999E-2</v>
      </c>
      <c r="K25" s="50">
        <f t="shared" si="3"/>
        <v>-3.4682080924855162E-3</v>
      </c>
    </row>
    <row r="26" spans="2:11" ht="15.5">
      <c r="B26" s="49">
        <v>3</v>
      </c>
      <c r="C26" s="15" t="s">
        <v>13</v>
      </c>
      <c r="D26" s="41">
        <v>0.05</v>
      </c>
      <c r="E26" s="7">
        <v>801</v>
      </c>
      <c r="F26" s="7">
        <v>797.1</v>
      </c>
      <c r="G26" s="3">
        <f t="shared" si="0"/>
        <v>4993</v>
      </c>
      <c r="H26" s="2">
        <f t="shared" si="1"/>
        <v>3979920.3000000003</v>
      </c>
      <c r="I26" s="19">
        <v>0.96399999999999997</v>
      </c>
      <c r="J26" s="4">
        <f t="shared" si="2"/>
        <v>4.82E-2</v>
      </c>
      <c r="K26" s="50">
        <f t="shared" si="3"/>
        <v>-4.8689138576778739E-3</v>
      </c>
    </row>
    <row r="27" spans="2:11" ht="15.5">
      <c r="B27" s="49">
        <v>7</v>
      </c>
      <c r="C27" s="15" t="s">
        <v>16</v>
      </c>
      <c r="D27" s="41">
        <v>0.05</v>
      </c>
      <c r="E27" s="9">
        <v>147.88</v>
      </c>
      <c r="F27" s="9">
        <v>147.13999999999999</v>
      </c>
      <c r="G27" s="3">
        <f t="shared" si="0"/>
        <v>27048</v>
      </c>
      <c r="H27" s="2">
        <f t="shared" si="1"/>
        <v>3979842.7199999997</v>
      </c>
      <c r="I27" s="19">
        <v>1</v>
      </c>
      <c r="J27" s="4">
        <f t="shared" si="2"/>
        <v>0.05</v>
      </c>
      <c r="K27" s="50">
        <f t="shared" si="3"/>
        <v>-5.0040573437923255E-3</v>
      </c>
    </row>
    <row r="28" spans="2:11" ht="15.5">
      <c r="B28" s="49">
        <v>14</v>
      </c>
      <c r="C28" s="16" t="s">
        <v>21</v>
      </c>
      <c r="D28" s="41">
        <v>4.4999999999999998E-2</v>
      </c>
      <c r="E28" s="8">
        <v>43.69</v>
      </c>
      <c r="F28" s="8">
        <v>43.42</v>
      </c>
      <c r="G28" s="3">
        <f t="shared" si="0"/>
        <v>82398</v>
      </c>
      <c r="H28" s="2">
        <f t="shared" si="1"/>
        <v>3577721.16</v>
      </c>
      <c r="I28" s="19">
        <v>1.29</v>
      </c>
      <c r="J28" s="4">
        <f t="shared" si="2"/>
        <v>5.8049999999999997E-2</v>
      </c>
      <c r="K28" s="50">
        <f t="shared" si="3"/>
        <v>-6.1799038681619603E-3</v>
      </c>
    </row>
    <row r="29" spans="2:11" ht="15.5">
      <c r="B29" s="49">
        <v>21</v>
      </c>
      <c r="C29" s="33" t="s">
        <v>28</v>
      </c>
      <c r="D29" s="41">
        <v>0.02</v>
      </c>
      <c r="E29" s="8">
        <v>63.15</v>
      </c>
      <c r="F29" s="8">
        <v>62.75</v>
      </c>
      <c r="G29" s="3">
        <f t="shared" si="0"/>
        <v>25336</v>
      </c>
      <c r="H29" s="2">
        <f t="shared" si="1"/>
        <v>1589834</v>
      </c>
      <c r="I29" s="19">
        <v>1.43</v>
      </c>
      <c r="J29" s="4">
        <f t="shared" si="2"/>
        <v>2.86E-2</v>
      </c>
      <c r="K29" s="50">
        <f t="shared" si="3"/>
        <v>-6.3341250989706827E-3</v>
      </c>
    </row>
    <row r="30" spans="2:11" ht="15.5">
      <c r="B30" s="49">
        <v>13</v>
      </c>
      <c r="C30" s="32" t="s">
        <v>20</v>
      </c>
      <c r="D30" s="41">
        <v>3.4500000000000003E-2</v>
      </c>
      <c r="E30" s="8">
        <v>132.19999999999999</v>
      </c>
      <c r="F30" s="8">
        <v>131.36000000000001</v>
      </c>
      <c r="G30" s="3">
        <f t="shared" si="0"/>
        <v>20877</v>
      </c>
      <c r="H30" s="2">
        <f t="shared" si="1"/>
        <v>2742402.72</v>
      </c>
      <c r="I30" s="19">
        <v>1.33</v>
      </c>
      <c r="J30" s="4">
        <f t="shared" si="2"/>
        <v>4.5885000000000009E-2</v>
      </c>
      <c r="K30" s="50">
        <f t="shared" si="3"/>
        <v>-6.3540090771556359E-3</v>
      </c>
    </row>
    <row r="31" spans="2:11" ht="15.5">
      <c r="B31" s="49">
        <v>22</v>
      </c>
      <c r="C31" s="16" t="s">
        <v>29</v>
      </c>
      <c r="D31" s="41">
        <v>0.05</v>
      </c>
      <c r="E31" s="8">
        <v>121.3</v>
      </c>
      <c r="F31" s="8">
        <v>120.45</v>
      </c>
      <c r="G31" s="3">
        <f t="shared" si="0"/>
        <v>32976</v>
      </c>
      <c r="H31" s="2">
        <f t="shared" si="1"/>
        <v>3971959.2</v>
      </c>
      <c r="I31" s="19">
        <v>0.63500000000000001</v>
      </c>
      <c r="J31" s="4">
        <f t="shared" si="2"/>
        <v>3.175E-2</v>
      </c>
      <c r="K31" s="50">
        <f t="shared" si="3"/>
        <v>-7.0074196207748915E-3</v>
      </c>
    </row>
    <row r="32" spans="2:11" ht="15.5">
      <c r="B32" s="49">
        <v>8</v>
      </c>
      <c r="C32" s="32" t="s">
        <v>17</v>
      </c>
      <c r="D32" s="41">
        <v>0.02</v>
      </c>
      <c r="E32" s="10">
        <v>105.04</v>
      </c>
      <c r="F32" s="10">
        <v>104.14</v>
      </c>
      <c r="G32" s="3">
        <f t="shared" si="0"/>
        <v>15232</v>
      </c>
      <c r="H32" s="2">
        <f t="shared" si="1"/>
        <v>1586260.48</v>
      </c>
      <c r="I32" s="19">
        <v>0.95299999999999996</v>
      </c>
      <c r="J32" s="4">
        <f t="shared" si="2"/>
        <v>1.9060000000000001E-2</v>
      </c>
      <c r="K32" s="50">
        <f t="shared" si="3"/>
        <v>-8.5681645087586217E-3</v>
      </c>
    </row>
    <row r="33" spans="2:15" ht="15.5">
      <c r="B33" s="49">
        <v>5</v>
      </c>
      <c r="C33" s="15" t="s">
        <v>14</v>
      </c>
      <c r="D33" s="41">
        <v>0.05</v>
      </c>
      <c r="E33" s="8">
        <v>58.62</v>
      </c>
      <c r="F33" s="8">
        <v>57.89</v>
      </c>
      <c r="G33" s="3">
        <f t="shared" si="0"/>
        <v>68236</v>
      </c>
      <c r="H33" s="2">
        <f t="shared" si="1"/>
        <v>3950182.04</v>
      </c>
      <c r="I33" s="19">
        <v>0.99299999999999999</v>
      </c>
      <c r="J33" s="4">
        <f t="shared" si="2"/>
        <v>4.965E-2</v>
      </c>
      <c r="K33" s="50">
        <f t="shared" si="3"/>
        <v>-1.2453087683384458E-2</v>
      </c>
    </row>
    <row r="34" spans="2:15" ht="15.5">
      <c r="B34" s="49">
        <v>23</v>
      </c>
      <c r="C34" s="33" t="s">
        <v>30</v>
      </c>
      <c r="D34" s="41">
        <v>1.4500000000000001E-2</v>
      </c>
      <c r="E34" s="8">
        <v>281</v>
      </c>
      <c r="F34" s="8">
        <v>277.5</v>
      </c>
      <c r="G34" s="3">
        <f t="shared" si="0"/>
        <v>4128</v>
      </c>
      <c r="H34" s="2">
        <f t="shared" si="1"/>
        <v>1145520</v>
      </c>
      <c r="I34" s="19">
        <v>0.80300000000000005</v>
      </c>
      <c r="J34" s="4">
        <f t="shared" si="2"/>
        <v>1.1643500000000001E-2</v>
      </c>
      <c r="K34" s="50">
        <f t="shared" si="3"/>
        <v>-1.2455516014234875E-2</v>
      </c>
    </row>
    <row r="35" spans="2:15" ht="15.5">
      <c r="B35" s="49">
        <v>15</v>
      </c>
      <c r="C35" s="16" t="s">
        <v>22</v>
      </c>
      <c r="D35" s="41">
        <v>4.4499999999999998E-2</v>
      </c>
      <c r="E35" s="8">
        <v>34.69</v>
      </c>
      <c r="F35" s="8">
        <v>34.22</v>
      </c>
      <c r="G35" s="3">
        <f t="shared" si="0"/>
        <v>102623</v>
      </c>
      <c r="H35" s="2">
        <f t="shared" si="1"/>
        <v>3511759.06</v>
      </c>
      <c r="I35" s="19">
        <v>0.84699999999999998</v>
      </c>
      <c r="J35" s="4">
        <f t="shared" si="2"/>
        <v>3.7691499999999996E-2</v>
      </c>
      <c r="K35" s="50">
        <f t="shared" si="3"/>
        <v>-1.3548573075814323E-2</v>
      </c>
    </row>
    <row r="36" spans="2:15" ht="15.5">
      <c r="B36" s="49">
        <v>20</v>
      </c>
      <c r="C36" s="33" t="s">
        <v>27</v>
      </c>
      <c r="D36" s="41">
        <v>0.02</v>
      </c>
      <c r="E36" s="8">
        <v>54.19</v>
      </c>
      <c r="F36" s="8">
        <v>53.27</v>
      </c>
      <c r="G36" s="3">
        <f t="shared" si="0"/>
        <v>29525</v>
      </c>
      <c r="H36" s="2">
        <f t="shared" si="1"/>
        <v>1572796.75</v>
      </c>
      <c r="I36" s="19">
        <v>1.36</v>
      </c>
      <c r="J36" s="4">
        <f t="shared" si="2"/>
        <v>2.7200000000000002E-2</v>
      </c>
      <c r="K36" s="50">
        <f t="shared" si="3"/>
        <v>-1.6977302085255483E-2</v>
      </c>
    </row>
    <row r="37" spans="2:15" ht="15.5">
      <c r="B37" s="49">
        <v>2</v>
      </c>
      <c r="C37" s="15" t="s">
        <v>12</v>
      </c>
      <c r="D37" s="41">
        <v>0.04</v>
      </c>
      <c r="E37" s="6">
        <v>116.62</v>
      </c>
      <c r="F37" s="6">
        <v>112.56</v>
      </c>
      <c r="G37" s="3">
        <f t="shared" si="0"/>
        <v>27439</v>
      </c>
      <c r="H37" s="2">
        <f t="shared" si="1"/>
        <v>3088533.84</v>
      </c>
      <c r="I37" s="19">
        <v>1.7</v>
      </c>
      <c r="J37" s="4">
        <f t="shared" si="2"/>
        <v>6.8000000000000005E-2</v>
      </c>
      <c r="K37" s="50">
        <f t="shared" si="3"/>
        <v>-3.481392557022811E-2</v>
      </c>
    </row>
    <row r="38" spans="2:15" ht="15.5">
      <c r="B38" s="51">
        <v>25</v>
      </c>
      <c r="C38" s="52" t="s">
        <v>32</v>
      </c>
      <c r="D38" s="53">
        <v>0.02</v>
      </c>
      <c r="E38" s="54">
        <v>49.85</v>
      </c>
      <c r="F38" s="54">
        <v>48</v>
      </c>
      <c r="G38" s="55">
        <f t="shared" si="0"/>
        <v>32096</v>
      </c>
      <c r="H38" s="56">
        <f t="shared" si="1"/>
        <v>1540608</v>
      </c>
      <c r="I38" s="57">
        <v>1.36</v>
      </c>
      <c r="J38" s="58">
        <f t="shared" si="2"/>
        <v>2.7200000000000002E-2</v>
      </c>
      <c r="K38" s="59">
        <f t="shared" si="3"/>
        <v>-3.7111334002006044E-2</v>
      </c>
    </row>
    <row r="39" spans="2:15" ht="15.5">
      <c r="B39" s="139" t="s">
        <v>54</v>
      </c>
      <c r="C39" s="139"/>
      <c r="D39" s="38">
        <f>SUM(D10:D38)</f>
        <v>1.0000000000000002</v>
      </c>
      <c r="E39" s="37"/>
      <c r="F39" s="37"/>
      <c r="G39" s="37"/>
      <c r="H39" s="64">
        <f>SUM(H10:H38)</f>
        <v>79823619.420000002</v>
      </c>
      <c r="I39" s="20" t="s">
        <v>40</v>
      </c>
      <c r="J39" s="43">
        <f>SUM(J10:J38)</f>
        <v>0.91899949999999986</v>
      </c>
      <c r="K39" s="65">
        <f>SUM(Tableau13[[Performance ]])</f>
        <v>-2.9144159639313286E-2</v>
      </c>
    </row>
    <row r="40" spans="2:15" ht="15.5">
      <c r="B40" s="44"/>
      <c r="C40" s="44"/>
      <c r="D40" s="45"/>
      <c r="E40" s="46"/>
      <c r="F40" s="46"/>
      <c r="G40" s="46"/>
      <c r="H40" s="47"/>
      <c r="I40" s="44"/>
      <c r="J40" s="48"/>
    </row>
    <row r="41" spans="2:15" ht="15" customHeight="1">
      <c r="B41" s="137" t="s">
        <v>41</v>
      </c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</row>
    <row r="42" spans="2:15" ht="15" customHeight="1"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2:15" ht="28.5" customHeight="1">
      <c r="B43" s="25" t="s">
        <v>42</v>
      </c>
      <c r="C43" s="25" t="s">
        <v>43</v>
      </c>
      <c r="D43" s="35" t="s">
        <v>44</v>
      </c>
      <c r="E43" s="25" t="s">
        <v>45</v>
      </c>
      <c r="F43" s="25"/>
      <c r="G43" s="26" t="s">
        <v>46</v>
      </c>
      <c r="H43" s="25" t="s">
        <v>47</v>
      </c>
      <c r="I43" s="26" t="s">
        <v>63</v>
      </c>
      <c r="J43" s="26" t="s">
        <v>62</v>
      </c>
      <c r="K43" s="26"/>
      <c r="L43" s="29" t="s">
        <v>53</v>
      </c>
      <c r="M43" s="25" t="s">
        <v>51</v>
      </c>
      <c r="N43" s="27" t="s">
        <v>48</v>
      </c>
      <c r="O43" s="74" t="s">
        <v>59</v>
      </c>
    </row>
    <row r="44" spans="2:15">
      <c r="B44" s="16" t="s">
        <v>49</v>
      </c>
      <c r="C44" s="21">
        <v>0.02</v>
      </c>
      <c r="D44" s="73">
        <v>48543</v>
      </c>
      <c r="E44" s="22">
        <v>45255</v>
      </c>
      <c r="F44" s="22"/>
      <c r="G44" s="23">
        <v>2.7019999999999999E-2</v>
      </c>
      <c r="H44" s="22">
        <v>44953</v>
      </c>
      <c r="I44" s="24">
        <v>100</v>
      </c>
      <c r="J44" s="24">
        <v>93.7</v>
      </c>
      <c r="K44" s="24"/>
      <c r="L44" s="39">
        <v>0.6</v>
      </c>
      <c r="M44" s="31">
        <f>ROUNDDOWN(L44*$G$3/I44,0)</f>
        <v>60000</v>
      </c>
      <c r="N44" s="28">
        <f>M44*J44</f>
        <v>5622000</v>
      </c>
      <c r="O44" s="75">
        <f>(J44-I44)/I44</f>
        <v>-6.2999999999999973E-2</v>
      </c>
    </row>
    <row r="45" spans="2:15">
      <c r="B45" s="16" t="s">
        <v>50</v>
      </c>
      <c r="C45" s="21">
        <v>7.4999999999999997E-3</v>
      </c>
      <c r="D45" s="22">
        <v>46898</v>
      </c>
      <c r="E45" s="22">
        <v>45071</v>
      </c>
      <c r="F45" s="22"/>
      <c r="G45" s="23">
        <v>2.5388000000000001E-2</v>
      </c>
      <c r="H45" s="22">
        <v>44953</v>
      </c>
      <c r="I45" s="30">
        <v>91.49</v>
      </c>
      <c r="J45" s="30">
        <v>90.72</v>
      </c>
      <c r="K45" s="30"/>
      <c r="L45" s="39">
        <v>0.4</v>
      </c>
      <c r="M45" s="31">
        <f>ROUNDDOWN(L45*$G$3/I45,0)</f>
        <v>43720</v>
      </c>
      <c r="N45" s="28">
        <f>M45*J45</f>
        <v>3966278.4</v>
      </c>
      <c r="O45" s="75">
        <f>(J45-I45)/I45</f>
        <v>-8.4162203519509895E-3</v>
      </c>
    </row>
    <row r="46" spans="2:15" ht="15.5">
      <c r="I46" s="139" t="s">
        <v>55</v>
      </c>
      <c r="J46" s="139"/>
      <c r="K46" s="139"/>
      <c r="L46" s="139"/>
      <c r="M46" s="139"/>
      <c r="N46" s="40">
        <f>SUM(N44:N45)</f>
        <v>9588278.4000000004</v>
      </c>
      <c r="O46" s="76">
        <f>SUM(O44:O45)</f>
        <v>-7.1416220351950957E-2</v>
      </c>
    </row>
  </sheetData>
  <mergeCells count="4">
    <mergeCell ref="B7:K8"/>
    <mergeCell ref="B39:C39"/>
    <mergeCell ref="B41:O42"/>
    <mergeCell ref="I46:M46"/>
  </mergeCells>
  <phoneticPr fontId="20" type="noConversion"/>
  <conditionalFormatting sqref="K10:K38">
    <cfRule type="cellIs" dxfId="12" priority="1" operator="lessThan">
      <formula>0</formula>
    </cfRule>
    <cfRule type="cellIs" dxfId="11" priority="2" operator="greater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3E34-51E8-4249-B5A2-987E3B818104}">
  <sheetPr codeName="Feuil2"/>
  <dimension ref="B1:P81"/>
  <sheetViews>
    <sheetView zoomScale="70" zoomScaleNormal="70" workbookViewId="0">
      <selection activeCell="I4" sqref="I4"/>
    </sheetView>
  </sheetViews>
  <sheetFormatPr baseColWidth="10" defaultRowHeight="14.5"/>
  <cols>
    <col min="2" max="2" width="14.453125" customWidth="1"/>
    <col min="3" max="3" width="24.81640625" bestFit="1" customWidth="1"/>
    <col min="4" max="4" width="20" style="34" customWidth="1"/>
    <col min="5" max="5" width="22.453125" customWidth="1"/>
    <col min="6" max="6" width="21.7265625" hidden="1" customWidth="1"/>
    <col min="7" max="7" width="22.453125" bestFit="1" customWidth="1"/>
    <col min="8" max="8" width="17.81640625" customWidth="1"/>
    <col min="9" max="9" width="34.26953125" customWidth="1"/>
    <col min="10" max="10" width="15.7265625" bestFit="1" customWidth="1"/>
    <col min="11" max="12" width="18.26953125" hidden="1" customWidth="1"/>
    <col min="13" max="13" width="22" bestFit="1" customWidth="1"/>
    <col min="14" max="14" width="22.1796875" customWidth="1"/>
    <col min="15" max="15" width="20.453125" bestFit="1" customWidth="1"/>
    <col min="16" max="16" width="13.1796875" bestFit="1" customWidth="1"/>
  </cols>
  <sheetData>
    <row r="1" spans="2:15">
      <c r="E1" s="14" t="s">
        <v>37</v>
      </c>
      <c r="F1" s="14"/>
      <c r="G1" s="14"/>
      <c r="H1" s="14" t="s">
        <v>36</v>
      </c>
    </row>
    <row r="2" spans="2:15">
      <c r="E2" s="1" t="s">
        <v>52</v>
      </c>
      <c r="F2" s="1"/>
      <c r="G2" s="1"/>
      <c r="H2" s="12">
        <f>100000000-H4-H5-H3</f>
        <v>80000000</v>
      </c>
      <c r="M2" s="36"/>
    </row>
    <row r="3" spans="2:15">
      <c r="C3" s="34"/>
      <c r="E3" s="1" t="s">
        <v>41</v>
      </c>
      <c r="F3" s="1"/>
      <c r="G3" s="1"/>
      <c r="H3" s="12">
        <v>10000000</v>
      </c>
    </row>
    <row r="4" spans="2:15">
      <c r="E4" s="1" t="s">
        <v>39</v>
      </c>
      <c r="F4" s="1"/>
      <c r="G4" s="1"/>
      <c r="H4" s="12">
        <f>0.1*100000000</f>
        <v>10000000</v>
      </c>
      <c r="J4" s="34"/>
      <c r="K4" s="34"/>
      <c r="L4" s="34"/>
    </row>
    <row r="5" spans="2:15">
      <c r="E5" s="1"/>
      <c r="F5" s="1"/>
      <c r="G5" s="1"/>
      <c r="H5" s="13"/>
    </row>
    <row r="6" spans="2:15">
      <c r="H6" s="18"/>
    </row>
    <row r="7" spans="2:15" ht="15" customHeight="1">
      <c r="B7" s="154" t="s">
        <v>72</v>
      </c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47"/>
      <c r="O7" s="147"/>
    </row>
    <row r="8" spans="2:15" ht="18.75" customHeight="1">
      <c r="B8" s="156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47"/>
      <c r="O8" s="147"/>
    </row>
    <row r="9" spans="2:15" ht="15.5">
      <c r="B9" s="60" t="s">
        <v>2</v>
      </c>
      <c r="C9" s="61" t="s">
        <v>0</v>
      </c>
      <c r="D9" s="62" t="s">
        <v>8</v>
      </c>
      <c r="E9" s="61" t="s">
        <v>56</v>
      </c>
      <c r="F9" s="61" t="s">
        <v>57</v>
      </c>
      <c r="G9" s="61" t="s">
        <v>60</v>
      </c>
      <c r="H9" s="61" t="s">
        <v>10</v>
      </c>
      <c r="I9" s="61" t="s">
        <v>9</v>
      </c>
      <c r="J9" s="61" t="s">
        <v>1</v>
      </c>
      <c r="K9" s="61" t="s">
        <v>61</v>
      </c>
      <c r="L9" s="61" t="s">
        <v>64</v>
      </c>
      <c r="M9" s="63" t="s">
        <v>11</v>
      </c>
      <c r="N9" s="151"/>
    </row>
    <row r="10" spans="2:15" ht="15.5">
      <c r="B10" s="49">
        <v>27</v>
      </c>
      <c r="C10" s="16" t="s">
        <v>34</v>
      </c>
      <c r="D10" s="41">
        <v>0.05</v>
      </c>
      <c r="E10" s="7">
        <v>64.459999999999994</v>
      </c>
      <c r="F10" s="7">
        <v>65.040000000000006</v>
      </c>
      <c r="G10" s="70">
        <v>73.459999999999994</v>
      </c>
      <c r="H10" s="3">
        <f>ROUNDDOWN(D10*$H$2/Tableau1[[#This Row],[COURS 27/01]],0)</f>
        <v>62053</v>
      </c>
      <c r="I10" s="2">
        <f>H10*Tableau1[[#This Row],[COURS 07/02]]</f>
        <v>4558413.38</v>
      </c>
      <c r="J10" s="19">
        <v>0.91300000000000003</v>
      </c>
      <c r="K10" s="19"/>
      <c r="L10" s="19"/>
      <c r="M10" s="148">
        <f t="shared" ref="M10:M38" si="0">J10*D10</f>
        <v>4.5650000000000003E-2</v>
      </c>
      <c r="N10" s="152"/>
    </row>
    <row r="11" spans="2:15" ht="15.5">
      <c r="B11" s="49">
        <v>17</v>
      </c>
      <c r="C11" s="16" t="s">
        <v>24</v>
      </c>
      <c r="D11" s="41">
        <v>3.4500000000000003E-2</v>
      </c>
      <c r="E11" s="8">
        <v>33.69</v>
      </c>
      <c r="F11" s="8">
        <v>34.06</v>
      </c>
      <c r="G11" s="84">
        <v>38.049999999999997</v>
      </c>
      <c r="H11" s="3">
        <f>ROUNDDOWN(D11*$H$2/Tableau1[[#This Row],[COURS 27/01]],0)</f>
        <v>81923</v>
      </c>
      <c r="I11" s="2">
        <f>H11*Tableau1[[#This Row],[COURS 07/02]]</f>
        <v>3117170.15</v>
      </c>
      <c r="J11" s="19">
        <v>0.68899999999999995</v>
      </c>
      <c r="K11" s="19"/>
      <c r="L11" s="19"/>
      <c r="M11" s="148">
        <f t="shared" si="0"/>
        <v>2.37705E-2</v>
      </c>
      <c r="N11" s="152"/>
    </row>
    <row r="12" spans="2:15" ht="15.5">
      <c r="B12" s="49">
        <v>26</v>
      </c>
      <c r="C12" s="33" t="s">
        <v>33</v>
      </c>
      <c r="D12" s="41">
        <v>0.01</v>
      </c>
      <c r="E12" s="8">
        <v>6.48</v>
      </c>
      <c r="F12" s="8">
        <v>6.5</v>
      </c>
      <c r="G12" s="69">
        <v>7</v>
      </c>
      <c r="H12" s="3">
        <f>ROUNDDOWN(D12*$H$2/Tableau1[[#This Row],[COURS 27/01]],0)</f>
        <v>123456</v>
      </c>
      <c r="I12" s="2">
        <f>H12*Tableau1[[#This Row],[COURS 07/02]]</f>
        <v>864192</v>
      </c>
      <c r="J12" s="19">
        <v>1.7</v>
      </c>
      <c r="K12" s="19"/>
      <c r="L12" s="19"/>
      <c r="M12" s="148">
        <f t="shared" si="0"/>
        <v>1.7000000000000001E-2</v>
      </c>
      <c r="N12" s="152"/>
    </row>
    <row r="13" spans="2:15" ht="15.5">
      <c r="B13" s="49">
        <v>15</v>
      </c>
      <c r="C13" s="16" t="s">
        <v>22</v>
      </c>
      <c r="D13" s="41">
        <v>4.4499999999999998E-2</v>
      </c>
      <c r="E13" s="8">
        <v>34.69</v>
      </c>
      <c r="F13" s="8">
        <v>34.22</v>
      </c>
      <c r="G13" s="90">
        <v>36.76</v>
      </c>
      <c r="H13" s="3">
        <f>ROUNDDOWN(D13*$H$2/Tableau1[[#This Row],[COURS 27/01]],0)</f>
        <v>102623</v>
      </c>
      <c r="I13" s="2">
        <f>H13*Tableau1[[#This Row],[COURS 07/02]]</f>
        <v>3772421.48</v>
      </c>
      <c r="J13" s="19">
        <v>0.84699999999999998</v>
      </c>
      <c r="K13" s="19"/>
      <c r="L13" s="19"/>
      <c r="M13" s="148">
        <f t="shared" si="0"/>
        <v>3.7691499999999996E-2</v>
      </c>
      <c r="N13" s="152"/>
    </row>
    <row r="14" spans="2:15" ht="15.5">
      <c r="B14" s="49">
        <v>28</v>
      </c>
      <c r="C14" s="16" t="s">
        <v>4</v>
      </c>
      <c r="D14" s="41">
        <v>0.04</v>
      </c>
      <c r="E14" s="8">
        <v>173</v>
      </c>
      <c r="F14" s="8">
        <v>172.4</v>
      </c>
      <c r="G14" s="85">
        <v>185.15</v>
      </c>
      <c r="H14" s="3">
        <f>ROUNDDOWN(D14*$H$2/Tableau1[[#This Row],[COURS 27/01]],0)</f>
        <v>18497</v>
      </c>
      <c r="I14" s="2">
        <f>H14*Tableau1[[#This Row],[COURS 07/02]]</f>
        <v>3424719.5500000003</v>
      </c>
      <c r="J14" s="19">
        <v>1.1499999999999999</v>
      </c>
      <c r="K14" s="19"/>
      <c r="L14" s="19"/>
      <c r="M14" s="148">
        <f t="shared" si="0"/>
        <v>4.5999999999999999E-2</v>
      </c>
      <c r="N14" s="152"/>
    </row>
    <row r="15" spans="2:15" ht="15.5">
      <c r="B15" s="49">
        <v>23</v>
      </c>
      <c r="C15" s="33" t="s">
        <v>30</v>
      </c>
      <c r="D15" s="41">
        <v>1.4500000000000001E-2</v>
      </c>
      <c r="E15" s="8">
        <v>281</v>
      </c>
      <c r="F15" s="8">
        <v>277.5</v>
      </c>
      <c r="G15" s="85">
        <v>292.5</v>
      </c>
      <c r="H15" s="3">
        <f>ROUNDDOWN(D15*$H$2/Tableau1[[#This Row],[COURS 27/01]],0)</f>
        <v>4128</v>
      </c>
      <c r="I15" s="2">
        <f>H15*Tableau1[[#This Row],[COURS 07/02]]</f>
        <v>1207440</v>
      </c>
      <c r="J15" s="19">
        <v>0.80300000000000005</v>
      </c>
      <c r="K15" s="19"/>
      <c r="L15" s="19"/>
      <c r="M15" s="148">
        <f t="shared" si="0"/>
        <v>1.1643500000000001E-2</v>
      </c>
      <c r="N15" s="152"/>
    </row>
    <row r="16" spans="2:15" ht="15.5">
      <c r="B16" s="49">
        <v>24</v>
      </c>
      <c r="C16" s="33" t="s">
        <v>31</v>
      </c>
      <c r="D16" s="41">
        <v>1.4500000000000001E-2</v>
      </c>
      <c r="E16" s="8">
        <v>166.15</v>
      </c>
      <c r="F16" s="8">
        <v>167.25</v>
      </c>
      <c r="G16" s="82">
        <v>174.5</v>
      </c>
      <c r="H16" s="3">
        <f>ROUNDDOWN(D16*$H$2/Tableau1[[#This Row],[COURS 27/01]],0)</f>
        <v>6981</v>
      </c>
      <c r="I16" s="2">
        <f>H16*Tableau1[[#This Row],[COURS 07/02]]</f>
        <v>1218184.5</v>
      </c>
      <c r="J16" s="19">
        <v>0.91200000000000003</v>
      </c>
      <c r="K16" s="19"/>
      <c r="L16" s="19"/>
      <c r="M16" s="148">
        <f t="shared" si="0"/>
        <v>1.3224000000000001E-2</v>
      </c>
      <c r="N16" s="152"/>
    </row>
    <row r="17" spans="2:16" ht="15.5">
      <c r="B17" s="49">
        <v>25</v>
      </c>
      <c r="C17" s="33" t="s">
        <v>32</v>
      </c>
      <c r="D17" s="41">
        <v>0.02</v>
      </c>
      <c r="E17" s="8">
        <v>49.85</v>
      </c>
      <c r="F17" s="8">
        <v>48</v>
      </c>
      <c r="G17" s="83">
        <v>49.95</v>
      </c>
      <c r="H17" s="3">
        <f>ROUNDDOWN(D17*$H$2/Tableau1[[#This Row],[COURS 27/01]],0)</f>
        <v>32096</v>
      </c>
      <c r="I17" s="2">
        <f>H17*Tableau1[[#This Row],[COURS 07/02]]</f>
        <v>1603195.2000000002</v>
      </c>
      <c r="J17" s="19">
        <v>1.36</v>
      </c>
      <c r="K17" s="19"/>
      <c r="L17" s="19"/>
      <c r="M17" s="148">
        <f t="shared" si="0"/>
        <v>2.7200000000000002E-2</v>
      </c>
      <c r="N17" s="152"/>
    </row>
    <row r="18" spans="2:16" ht="15.5">
      <c r="B18" s="49">
        <v>14</v>
      </c>
      <c r="C18" s="16" t="s">
        <v>21</v>
      </c>
      <c r="D18" s="41">
        <v>4.4999999999999998E-2</v>
      </c>
      <c r="E18" s="8">
        <v>43.69</v>
      </c>
      <c r="F18" s="8">
        <v>43.42</v>
      </c>
      <c r="G18" s="71">
        <v>45.155000000000001</v>
      </c>
      <c r="H18" s="3">
        <f>ROUNDDOWN(D18*$H$2/Tableau1[[#This Row],[COURS 27/01]],0)</f>
        <v>82398</v>
      </c>
      <c r="I18" s="2">
        <f>H18*Tableau1[[#This Row],[COURS 07/02]]</f>
        <v>3720681.69</v>
      </c>
      <c r="J18" s="19">
        <v>1.29</v>
      </c>
      <c r="K18" s="19"/>
      <c r="L18" s="19"/>
      <c r="M18" s="148">
        <f t="shared" si="0"/>
        <v>5.8049999999999997E-2</v>
      </c>
      <c r="N18" s="152"/>
    </row>
    <row r="19" spans="2:16" ht="15.5">
      <c r="B19" s="49">
        <v>7</v>
      </c>
      <c r="C19" s="15" t="s">
        <v>16</v>
      </c>
      <c r="D19" s="41">
        <v>0.05</v>
      </c>
      <c r="E19" s="9">
        <v>147.88</v>
      </c>
      <c r="F19" s="9">
        <v>147.13999999999999</v>
      </c>
      <c r="G19" s="88">
        <v>152.66</v>
      </c>
      <c r="H19" s="3">
        <f>ROUNDDOWN(D19*$H$2/Tableau1[[#This Row],[COURS 27/01]],0)</f>
        <v>27048</v>
      </c>
      <c r="I19" s="2">
        <f>H19*Tableau1[[#This Row],[COURS 07/02]]</f>
        <v>4129147.6799999997</v>
      </c>
      <c r="J19" s="19">
        <v>1</v>
      </c>
      <c r="K19" s="19"/>
      <c r="L19" s="19"/>
      <c r="M19" s="148">
        <f t="shared" si="0"/>
        <v>0.05</v>
      </c>
      <c r="N19" s="152"/>
    </row>
    <row r="20" spans="2:16" ht="15.5">
      <c r="B20" s="49">
        <v>21</v>
      </c>
      <c r="C20" s="33" t="s">
        <v>28</v>
      </c>
      <c r="D20" s="41">
        <v>0.02</v>
      </c>
      <c r="E20" s="8">
        <v>63.15</v>
      </c>
      <c r="F20" s="8">
        <v>62.75</v>
      </c>
      <c r="G20" s="67">
        <v>65.099999999999994</v>
      </c>
      <c r="H20" s="3">
        <f>ROUNDDOWN(D20*$H$2/Tableau1[[#This Row],[COURS 27/01]],0)</f>
        <v>25336</v>
      </c>
      <c r="I20" s="2">
        <f>H20*Tableau1[[#This Row],[COURS 07/02]]</f>
        <v>1649373.5999999999</v>
      </c>
      <c r="J20" s="19">
        <v>1.43</v>
      </c>
      <c r="K20" s="19"/>
      <c r="L20" s="19"/>
      <c r="M20" s="148">
        <f t="shared" si="0"/>
        <v>2.86E-2</v>
      </c>
      <c r="N20" s="152"/>
    </row>
    <row r="21" spans="2:16" ht="15.5">
      <c r="B21" s="49">
        <v>16</v>
      </c>
      <c r="C21" s="16" t="s">
        <v>23</v>
      </c>
      <c r="D21" s="41">
        <v>0.05</v>
      </c>
      <c r="E21" s="8">
        <v>184.2</v>
      </c>
      <c r="F21" s="8">
        <v>186.3</v>
      </c>
      <c r="G21" s="82">
        <v>192.2</v>
      </c>
      <c r="H21" s="3">
        <f>ROUNDDOWN(D21*$H$2/Tableau1[[#This Row],[COURS 27/01]],0)</f>
        <v>21715</v>
      </c>
      <c r="I21" s="2">
        <f>H21*Tableau1[[#This Row],[COURS 07/02]]</f>
        <v>4173622.9999999995</v>
      </c>
      <c r="J21" s="19">
        <v>0.43</v>
      </c>
      <c r="K21" s="19"/>
      <c r="L21" s="19"/>
      <c r="M21" s="148">
        <f t="shared" si="0"/>
        <v>2.1500000000000002E-2</v>
      </c>
      <c r="N21" s="152"/>
    </row>
    <row r="22" spans="2:16" ht="15.5">
      <c r="B22" s="49">
        <v>10</v>
      </c>
      <c r="C22" s="15" t="s">
        <v>18</v>
      </c>
      <c r="D22" s="41">
        <v>0.05</v>
      </c>
      <c r="E22" s="11">
        <v>1697.5</v>
      </c>
      <c r="F22" s="11" t="s">
        <v>58</v>
      </c>
      <c r="G22" s="72">
        <v>1741.5</v>
      </c>
      <c r="H22" s="3">
        <f>ROUNDDOWN(D22*$H$2/Tableau1[[#This Row],[COURS 27/01]],0)</f>
        <v>2356</v>
      </c>
      <c r="I22" s="2">
        <f>H22*Tableau1[[#This Row],[COURS 07/02]]</f>
        <v>4102974</v>
      </c>
      <c r="J22" s="19">
        <v>0.65700000000000003</v>
      </c>
      <c r="K22" s="19"/>
      <c r="L22" s="19"/>
      <c r="M22" s="148">
        <f t="shared" si="0"/>
        <v>3.2850000000000004E-2</v>
      </c>
      <c r="N22" s="152"/>
      <c r="O22">
        <f>100-99.52</f>
        <v>0.48000000000000398</v>
      </c>
    </row>
    <row r="23" spans="2:16" ht="15.5">
      <c r="B23" s="49">
        <v>20</v>
      </c>
      <c r="C23" s="33" t="s">
        <v>27</v>
      </c>
      <c r="D23" s="41">
        <v>0.02</v>
      </c>
      <c r="E23" s="8">
        <v>54.19</v>
      </c>
      <c r="F23" s="8">
        <v>53.27</v>
      </c>
      <c r="G23" s="84">
        <v>54.68</v>
      </c>
      <c r="H23" s="3">
        <f>ROUNDDOWN(D23*$H$2/Tableau1[[#This Row],[COURS 27/01]],0)</f>
        <v>29525</v>
      </c>
      <c r="I23" s="2">
        <f>H23*Tableau1[[#This Row],[COURS 07/02]]</f>
        <v>1614427</v>
      </c>
      <c r="J23" s="19">
        <v>1.36</v>
      </c>
      <c r="K23" s="19"/>
      <c r="L23" s="19"/>
      <c r="M23" s="148">
        <f t="shared" si="0"/>
        <v>2.7200000000000002E-2</v>
      </c>
      <c r="N23" s="152"/>
    </row>
    <row r="24" spans="2:16" ht="15.5">
      <c r="B24" s="49">
        <v>12</v>
      </c>
      <c r="C24" s="17" t="s">
        <v>19</v>
      </c>
      <c r="D24" s="41">
        <v>0.04</v>
      </c>
      <c r="E24" s="8">
        <v>557.70000000000005</v>
      </c>
      <c r="F24" s="8">
        <v>565.70000000000005</v>
      </c>
      <c r="G24" s="82">
        <v>579.5</v>
      </c>
      <c r="H24" s="3">
        <f>ROUNDDOWN(D24*$H$2/Tableau1[[#This Row],[COURS 27/01]],0)</f>
        <v>5737</v>
      </c>
      <c r="I24" s="2">
        <f>H24*Tableau1[[#This Row],[COURS 07/02]]</f>
        <v>3324591.5</v>
      </c>
      <c r="J24" s="19">
        <v>1.07</v>
      </c>
      <c r="K24" s="19"/>
      <c r="L24" s="19"/>
      <c r="M24" s="148">
        <f t="shared" si="0"/>
        <v>4.2800000000000005E-2</v>
      </c>
      <c r="N24" s="152"/>
    </row>
    <row r="25" spans="2:16" ht="15.5">
      <c r="B25" s="49">
        <v>3</v>
      </c>
      <c r="C25" s="15" t="s">
        <v>13</v>
      </c>
      <c r="D25" s="41">
        <v>0.05</v>
      </c>
      <c r="E25" s="7">
        <v>801</v>
      </c>
      <c r="F25" s="7">
        <v>797.1</v>
      </c>
      <c r="G25" s="86">
        <v>812.6</v>
      </c>
      <c r="H25" s="3">
        <f>ROUNDDOWN(D25*$H$2/Tableau1[[#This Row],[COURS 27/01]],0)</f>
        <v>4993</v>
      </c>
      <c r="I25" s="2">
        <f>H25*Tableau1[[#This Row],[COURS 07/02]]</f>
        <v>4057311.8000000003</v>
      </c>
      <c r="J25" s="19">
        <v>0.96399999999999997</v>
      </c>
      <c r="K25" s="19"/>
      <c r="L25" s="19"/>
      <c r="M25" s="148">
        <f t="shared" si="0"/>
        <v>4.82E-2</v>
      </c>
      <c r="N25" s="152"/>
      <c r="O25">
        <f>20470*G35</f>
        <v>1155940.8999999999</v>
      </c>
    </row>
    <row r="26" spans="2:16" ht="15.5">
      <c r="B26" s="49">
        <v>2</v>
      </c>
      <c r="C26" s="15" t="s">
        <v>12</v>
      </c>
      <c r="D26" s="41">
        <v>0.04</v>
      </c>
      <c r="E26" s="6">
        <v>116.62</v>
      </c>
      <c r="F26" s="6">
        <v>112.56</v>
      </c>
      <c r="G26" s="67">
        <v>114</v>
      </c>
      <c r="H26" s="3">
        <f>ROUNDDOWN(D26*$H$2/Tableau1[[#This Row],[COURS 27/01]],0)</f>
        <v>27439</v>
      </c>
      <c r="I26" s="2">
        <f>H26*Tableau1[[#This Row],[COURS 07/02]]</f>
        <v>3128046</v>
      </c>
      <c r="J26" s="19">
        <v>1.7</v>
      </c>
      <c r="K26" s="19"/>
      <c r="L26" s="19"/>
      <c r="M26" s="148">
        <f t="shared" si="0"/>
        <v>6.8000000000000005E-2</v>
      </c>
      <c r="N26" s="152"/>
    </row>
    <row r="27" spans="2:16" ht="15.5">
      <c r="B27" s="49">
        <v>4</v>
      </c>
      <c r="C27" s="15" t="s">
        <v>5</v>
      </c>
      <c r="D27" s="41">
        <v>0.05</v>
      </c>
      <c r="E27" s="7">
        <v>378.45</v>
      </c>
      <c r="F27" s="7">
        <v>378.55</v>
      </c>
      <c r="G27" s="89">
        <v>380.65</v>
      </c>
      <c r="H27" s="3">
        <f>ROUNDDOWN(D27*$H$2/Tableau1[[#This Row],[COURS 27/01]],0)</f>
        <v>10569</v>
      </c>
      <c r="I27" s="2">
        <f>H27*Tableau1[[#This Row],[COURS 07/02]]</f>
        <v>4023089.8499999996</v>
      </c>
      <c r="J27" s="19">
        <v>0.60399999999999998</v>
      </c>
      <c r="K27" s="19"/>
      <c r="L27" s="19"/>
      <c r="M27" s="148">
        <f t="shared" si="0"/>
        <v>3.0200000000000001E-2</v>
      </c>
      <c r="N27" s="152"/>
    </row>
    <row r="28" spans="2:16" ht="15.5">
      <c r="B28" s="49">
        <v>8</v>
      </c>
      <c r="C28" s="32" t="s">
        <v>17</v>
      </c>
      <c r="D28" s="41">
        <v>0.02</v>
      </c>
      <c r="E28" s="10">
        <v>105.04</v>
      </c>
      <c r="F28" s="10">
        <v>104.14</v>
      </c>
      <c r="G28" s="71">
        <v>104.7</v>
      </c>
      <c r="H28" s="3">
        <f>ROUNDDOWN(D28*$H$2/Tableau1[[#This Row],[COURS 27/01]],0)</f>
        <v>15232</v>
      </c>
      <c r="I28" s="2">
        <f>H28*Tableau1[[#This Row],[COURS 07/02]]</f>
        <v>1594790.4000000001</v>
      </c>
      <c r="J28" s="19">
        <v>0.95299999999999996</v>
      </c>
      <c r="K28" s="19"/>
      <c r="L28" s="19"/>
      <c r="M28" s="148">
        <f t="shared" si="0"/>
        <v>1.9060000000000001E-2</v>
      </c>
      <c r="N28" s="152"/>
    </row>
    <row r="29" spans="2:16" ht="15.5">
      <c r="B29" s="49">
        <v>1</v>
      </c>
      <c r="C29" s="32" t="s">
        <v>6</v>
      </c>
      <c r="D29" s="41">
        <v>2.8000000000000001E-2</v>
      </c>
      <c r="E29" s="5">
        <v>49.53</v>
      </c>
      <c r="F29" s="5">
        <v>50.25</v>
      </c>
      <c r="G29" s="87">
        <v>50.42</v>
      </c>
      <c r="H29" s="3">
        <f>ROUNDDOWN(D29*$H$2/Tableau1[[#This Row],[COURS 27/01]],0)</f>
        <v>45225</v>
      </c>
      <c r="I29" s="2">
        <f>H29*Tableau1[[#This Row],[COURS 07/02]]</f>
        <v>2280244.5</v>
      </c>
      <c r="J29" s="19">
        <v>0.49</v>
      </c>
      <c r="K29" s="19"/>
      <c r="L29" s="19"/>
      <c r="M29" s="148">
        <f t="shared" si="0"/>
        <v>1.372E-2</v>
      </c>
      <c r="N29" s="152"/>
    </row>
    <row r="30" spans="2:16" ht="15.5">
      <c r="B30" s="49">
        <v>11</v>
      </c>
      <c r="C30" s="33" t="s">
        <v>7</v>
      </c>
      <c r="D30" s="41">
        <v>1.4999999999999999E-2</v>
      </c>
      <c r="E30" s="8">
        <v>30.25</v>
      </c>
      <c r="F30" s="8">
        <v>30.35</v>
      </c>
      <c r="G30" s="71">
        <v>30.36</v>
      </c>
      <c r="H30" s="3">
        <f>ROUNDDOWN(D30*$H$2/Tableau1[[#This Row],[COURS 27/01]],0)</f>
        <v>39669</v>
      </c>
      <c r="I30" s="2">
        <f>H30*Tableau1[[#This Row],[COURS 07/02]]</f>
        <v>1204350.8400000001</v>
      </c>
      <c r="J30" s="19">
        <v>0.95499999999999996</v>
      </c>
      <c r="K30" s="19"/>
      <c r="L30" s="19"/>
      <c r="M30" s="148">
        <f t="shared" si="0"/>
        <v>1.4324999999999999E-2</v>
      </c>
      <c r="N30" s="152"/>
      <c r="O30">
        <f>1.47+1.5</f>
        <v>2.9699999999999998</v>
      </c>
      <c r="P30">
        <f>1.47+1.5+1</f>
        <v>3.9699999999999998</v>
      </c>
    </row>
    <row r="31" spans="2:16" ht="15.5">
      <c r="B31" s="49">
        <v>13</v>
      </c>
      <c r="C31" s="32" t="s">
        <v>20</v>
      </c>
      <c r="D31" s="41">
        <v>3.4500000000000003E-2</v>
      </c>
      <c r="E31" s="8">
        <v>132.19999999999999</v>
      </c>
      <c r="F31" s="8">
        <v>131.36000000000001</v>
      </c>
      <c r="G31" s="71">
        <v>131.24</v>
      </c>
      <c r="H31" s="3">
        <f>ROUNDDOWN(D31*$H$2/Tableau1[[#This Row],[COURS 27/01]],0)</f>
        <v>20877</v>
      </c>
      <c r="I31" s="2">
        <f>H31*Tableau1[[#This Row],[COURS 07/02]]</f>
        <v>2739897.48</v>
      </c>
      <c r="J31" s="19">
        <v>1.33</v>
      </c>
      <c r="K31" s="19"/>
      <c r="L31" s="19"/>
      <c r="M31" s="148">
        <f t="shared" si="0"/>
        <v>4.5885000000000009E-2</v>
      </c>
      <c r="N31" s="152"/>
    </row>
    <row r="32" spans="2:16" ht="15.5">
      <c r="B32" s="49">
        <v>22</v>
      </c>
      <c r="C32" s="16" t="s">
        <v>29</v>
      </c>
      <c r="D32" s="41">
        <v>0.05</v>
      </c>
      <c r="E32" s="8">
        <v>121.3</v>
      </c>
      <c r="F32" s="8">
        <v>120.45</v>
      </c>
      <c r="G32" s="71">
        <v>118.75</v>
      </c>
      <c r="H32" s="3">
        <f>ROUNDDOWN(D32*$H$2/Tableau1[[#This Row],[COURS 27/01]],0)</f>
        <v>32976</v>
      </c>
      <c r="I32" s="2">
        <f>H32*Tableau1[[#This Row],[COURS 07/02]]</f>
        <v>3915900</v>
      </c>
      <c r="J32" s="19">
        <v>0.63500000000000001</v>
      </c>
      <c r="K32" s="19"/>
      <c r="L32" s="19"/>
      <c r="M32" s="148">
        <f t="shared" si="0"/>
        <v>3.175E-2</v>
      </c>
      <c r="N32" s="152"/>
    </row>
    <row r="33" spans="2:16" ht="15.5">
      <c r="B33" s="49">
        <v>18</v>
      </c>
      <c r="C33" s="33" t="s">
        <v>25</v>
      </c>
      <c r="D33" s="41">
        <v>1.4999999999999999E-2</v>
      </c>
      <c r="E33" s="8">
        <v>62.03</v>
      </c>
      <c r="F33" s="8">
        <v>62.66</v>
      </c>
      <c r="G33" s="67">
        <v>61.24</v>
      </c>
      <c r="H33" s="3">
        <f>ROUNDDOWN(D33*$H$2/Tableau1[[#This Row],[COURS 27/01]],0)</f>
        <v>19345</v>
      </c>
      <c r="I33" s="2">
        <f>H33*Tableau1[[#This Row],[COURS 07/02]]</f>
        <v>1184687.8</v>
      </c>
      <c r="J33" s="19">
        <v>1.73</v>
      </c>
      <c r="K33" s="19"/>
      <c r="L33" s="19"/>
      <c r="M33" s="148">
        <f t="shared" si="0"/>
        <v>2.5949999999999997E-2</v>
      </c>
      <c r="N33" s="152"/>
      <c r="P33">
        <f>1</f>
        <v>1</v>
      </c>
    </row>
    <row r="34" spans="2:16" ht="15.5">
      <c r="B34" s="49">
        <v>19</v>
      </c>
      <c r="C34" s="33" t="s">
        <v>26</v>
      </c>
      <c r="D34" s="41">
        <v>0.03</v>
      </c>
      <c r="E34" s="7">
        <v>17.510000000000002</v>
      </c>
      <c r="F34" s="7">
        <v>17.52</v>
      </c>
      <c r="G34" s="70">
        <v>17.100000000000001</v>
      </c>
      <c r="H34" s="3">
        <f>ROUNDDOWN(D34*$H$2/Tableau1[[#This Row],[COURS 27/01]],0)</f>
        <v>137064</v>
      </c>
      <c r="I34" s="2">
        <f>H34*Tableau1[[#This Row],[COURS 07/02]]</f>
        <v>2343794.4000000004</v>
      </c>
      <c r="J34" s="19">
        <v>0.54900000000000004</v>
      </c>
      <c r="K34" s="19"/>
      <c r="L34" s="19"/>
      <c r="M34" s="148">
        <f t="shared" si="0"/>
        <v>1.6470000000000002E-2</v>
      </c>
      <c r="N34" s="152"/>
    </row>
    <row r="35" spans="2:16" ht="15.5">
      <c r="B35" s="49">
        <v>5</v>
      </c>
      <c r="C35" s="15" t="s">
        <v>14</v>
      </c>
      <c r="D35" s="41">
        <v>3.5000000000000003E-2</v>
      </c>
      <c r="E35" s="8">
        <v>58.62</v>
      </c>
      <c r="F35" s="8">
        <v>57.89</v>
      </c>
      <c r="G35" s="67">
        <v>56.47</v>
      </c>
      <c r="H35" s="3">
        <f>ROUNDDOWN(D35*$H$2/Tableau1[[#This Row],[COURS 27/01]],0)</f>
        <v>47765</v>
      </c>
      <c r="I35" s="2">
        <f>H35*Tableau1[[#This Row],[COURS 07/02]]</f>
        <v>2697289.55</v>
      </c>
      <c r="J35" s="19">
        <v>0.99299999999999999</v>
      </c>
      <c r="K35" s="19"/>
      <c r="L35" s="19"/>
      <c r="M35" s="148">
        <f t="shared" si="0"/>
        <v>3.4755000000000001E-2</v>
      </c>
      <c r="N35" s="152"/>
    </row>
    <row r="36" spans="2:16" ht="15.5">
      <c r="B36" s="49">
        <v>6</v>
      </c>
      <c r="C36" s="15" t="s">
        <v>15</v>
      </c>
      <c r="D36" s="41">
        <v>0.05</v>
      </c>
      <c r="E36" s="9">
        <v>148.26</v>
      </c>
      <c r="F36" s="9">
        <v>147.80000000000001</v>
      </c>
      <c r="G36" s="85">
        <v>144</v>
      </c>
      <c r="H36" s="3">
        <f>ROUNDDOWN(D36*$H$2/Tableau1[[#This Row],[COURS 27/01]],0)</f>
        <v>26979</v>
      </c>
      <c r="I36" s="2">
        <f>H36*Tableau1[[#This Row],[COURS 07/02]]</f>
        <v>3884976</v>
      </c>
      <c r="J36" s="19">
        <v>0.63600000000000001</v>
      </c>
      <c r="K36" s="19"/>
      <c r="L36" s="19"/>
      <c r="M36" s="148">
        <f t="shared" si="0"/>
        <v>3.1800000000000002E-2</v>
      </c>
      <c r="N36" s="152"/>
    </row>
    <row r="37" spans="2:16" ht="15.5">
      <c r="B37" s="49">
        <v>9</v>
      </c>
      <c r="C37" s="16" t="s">
        <v>3</v>
      </c>
      <c r="D37" s="41">
        <v>0.05</v>
      </c>
      <c r="E37" s="9">
        <v>89.55</v>
      </c>
      <c r="F37" s="9">
        <v>89.73</v>
      </c>
      <c r="G37" s="66">
        <v>85.56</v>
      </c>
      <c r="H37" s="3">
        <f>ROUNDDOWN(D37*$H$2/Tableau1[[#This Row],[COURS 27/01]],0)</f>
        <v>44667</v>
      </c>
      <c r="I37" s="2">
        <f>H37*Tableau1[[#This Row],[COURS 07/02]]</f>
        <v>3821708.52</v>
      </c>
      <c r="J37" s="19">
        <v>0.41599999999999998</v>
      </c>
      <c r="K37" s="19"/>
      <c r="L37" s="19"/>
      <c r="M37" s="148">
        <f t="shared" si="0"/>
        <v>2.0799999999999999E-2</v>
      </c>
      <c r="N37" s="152"/>
      <c r="P37">
        <f>8093*148.26</f>
        <v>1199868.18</v>
      </c>
    </row>
    <row r="38" spans="2:16" ht="15.5">
      <c r="B38" s="51">
        <v>29</v>
      </c>
      <c r="C38" s="91" t="s">
        <v>70</v>
      </c>
      <c r="D38" s="53">
        <f>0.0295</f>
        <v>2.9499999999999998E-2</v>
      </c>
      <c r="E38" s="54">
        <v>39.33</v>
      </c>
      <c r="F38" s="54">
        <v>15.88</v>
      </c>
      <c r="G38" s="68">
        <v>39.33</v>
      </c>
      <c r="H38" s="55">
        <f>ROUNDDOWN(D38*$H$2/Tableau1[[#This Row],[COURS 27/01]],0)</f>
        <v>60005</v>
      </c>
      <c r="I38" s="56">
        <f>H38*Tableau1[[#This Row],[COURS 07/02]]</f>
        <v>2359996.65</v>
      </c>
      <c r="J38" s="57">
        <v>1.67</v>
      </c>
      <c r="K38" s="57"/>
      <c r="L38" s="57"/>
      <c r="M38" s="149">
        <f t="shared" si="0"/>
        <v>4.9264999999999996E-2</v>
      </c>
      <c r="N38" s="152"/>
    </row>
    <row r="39" spans="2:16" ht="15.5">
      <c r="B39" s="139" t="s">
        <v>54</v>
      </c>
      <c r="C39" s="139"/>
      <c r="D39" s="38">
        <f>SUM(D10:D38)</f>
        <v>1.0000000000000004</v>
      </c>
      <c r="E39" s="37"/>
      <c r="F39" s="37"/>
      <c r="G39" s="37"/>
      <c r="H39" s="37"/>
      <c r="I39" s="64">
        <f>SUM(I10:I38)</f>
        <v>81716638.519999996</v>
      </c>
      <c r="J39" s="20" t="s">
        <v>40</v>
      </c>
      <c r="K39" s="20"/>
      <c r="L39" s="20"/>
      <c r="M39" s="150">
        <f>SUM(M10:M38)</f>
        <v>0.9333594999999999</v>
      </c>
      <c r="N39" s="153"/>
    </row>
    <row r="40" spans="2:16" ht="15.5">
      <c r="B40" s="44"/>
      <c r="C40" s="44"/>
      <c r="D40" s="45"/>
      <c r="E40" s="46"/>
      <c r="F40" s="46"/>
      <c r="G40" s="46"/>
      <c r="H40" s="46"/>
      <c r="I40" s="47"/>
      <c r="J40" s="44"/>
      <c r="K40" s="44"/>
      <c r="L40" s="44"/>
      <c r="M40" s="48"/>
    </row>
    <row r="41" spans="2:16" ht="15" customHeight="1">
      <c r="B41" s="137" t="s">
        <v>41</v>
      </c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</row>
    <row r="42" spans="2:16" ht="15" customHeight="1"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</row>
    <row r="43" spans="2:16" ht="28.5" customHeight="1">
      <c r="B43" s="25" t="s">
        <v>42</v>
      </c>
      <c r="C43" s="25" t="s">
        <v>43</v>
      </c>
      <c r="D43" s="35" t="s">
        <v>44</v>
      </c>
      <c r="E43" s="25" t="s">
        <v>45</v>
      </c>
      <c r="F43" s="25"/>
      <c r="G43" s="25"/>
      <c r="H43" s="26" t="s">
        <v>46</v>
      </c>
      <c r="I43" s="25" t="s">
        <v>47</v>
      </c>
      <c r="J43" s="26" t="s">
        <v>63</v>
      </c>
      <c r="K43" s="26" t="s">
        <v>62</v>
      </c>
      <c r="L43" s="26" t="s">
        <v>65</v>
      </c>
      <c r="M43" s="29" t="s">
        <v>53</v>
      </c>
      <c r="N43" s="25" t="s">
        <v>51</v>
      </c>
      <c r="O43" s="27" t="s">
        <v>48</v>
      </c>
      <c r="P43" s="74" t="s">
        <v>59</v>
      </c>
    </row>
    <row r="44" spans="2:16">
      <c r="B44" s="16" t="s">
        <v>49</v>
      </c>
      <c r="C44" s="21">
        <v>0.02</v>
      </c>
      <c r="D44" s="73">
        <v>48543</v>
      </c>
      <c r="E44" s="22">
        <v>45255</v>
      </c>
      <c r="F44" s="22"/>
      <c r="G44" s="22"/>
      <c r="H44" s="23">
        <v>2.7019999999999999E-2</v>
      </c>
      <c r="I44" s="22">
        <v>44953</v>
      </c>
      <c r="J44" s="24">
        <v>100</v>
      </c>
      <c r="K44" s="24">
        <v>93.7</v>
      </c>
      <c r="L44" s="24">
        <v>93.73</v>
      </c>
      <c r="M44" s="39">
        <v>0.6</v>
      </c>
      <c r="N44" s="31">
        <f>ROUNDDOWN(M44*$H$3/J44,0)</f>
        <v>60000</v>
      </c>
      <c r="O44" s="28">
        <f>N44*L44</f>
        <v>5623800</v>
      </c>
      <c r="P44" s="75">
        <f>(L44-K44)/K44</f>
        <v>3.201707577374721E-4</v>
      </c>
    </row>
    <row r="45" spans="2:16">
      <c r="B45" s="16" t="s">
        <v>50</v>
      </c>
      <c r="C45" s="21">
        <v>7.4999999999999997E-3</v>
      </c>
      <c r="D45" s="22">
        <v>46898</v>
      </c>
      <c r="E45" s="22">
        <v>45071</v>
      </c>
      <c r="F45" s="22"/>
      <c r="G45" s="22"/>
      <c r="H45" s="23">
        <v>2.5388000000000001E-2</v>
      </c>
      <c r="I45" s="22">
        <v>44953</v>
      </c>
      <c r="J45" s="30">
        <v>91.49</v>
      </c>
      <c r="K45" s="30">
        <v>90.72</v>
      </c>
      <c r="L45" s="30">
        <v>91.11</v>
      </c>
      <c r="M45" s="39">
        <v>0.4</v>
      </c>
      <c r="N45" s="31">
        <f>ROUNDDOWN(M45*$H$3/J45,0)</f>
        <v>43720</v>
      </c>
      <c r="O45" s="28">
        <f>N45*L45</f>
        <v>3983329.2</v>
      </c>
      <c r="P45" s="75">
        <f>(L45-K45)/K45</f>
        <v>4.2989417989418056E-3</v>
      </c>
    </row>
    <row r="46" spans="2:16" ht="15.5">
      <c r="J46" s="139" t="s">
        <v>55</v>
      </c>
      <c r="K46" s="139"/>
      <c r="L46" s="139"/>
      <c r="M46" s="139"/>
      <c r="N46" s="139"/>
      <c r="O46" s="40">
        <f>SUM(O44:O45)</f>
        <v>9607129.1999999993</v>
      </c>
      <c r="P46" s="76">
        <f>SUM(P44:P45)</f>
        <v>4.6191125566792781E-3</v>
      </c>
    </row>
    <row r="49" spans="2:14">
      <c r="B49" s="140" t="s">
        <v>73</v>
      </c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</row>
    <row r="50" spans="2:14"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</row>
    <row r="51" spans="2:14" ht="15.5">
      <c r="B51" s="60" t="s">
        <v>2</v>
      </c>
      <c r="C51" s="61" t="s">
        <v>0</v>
      </c>
      <c r="D51" s="62" t="s">
        <v>8</v>
      </c>
      <c r="E51" s="61" t="s">
        <v>56</v>
      </c>
      <c r="F51" s="61" t="s">
        <v>57</v>
      </c>
      <c r="G51" s="61" t="s">
        <v>60</v>
      </c>
      <c r="H51" s="61" t="s">
        <v>10</v>
      </c>
      <c r="I51" s="61" t="s">
        <v>9</v>
      </c>
      <c r="J51" s="61" t="s">
        <v>1</v>
      </c>
      <c r="K51" s="61" t="s">
        <v>61</v>
      </c>
      <c r="L51" s="61" t="s">
        <v>64</v>
      </c>
      <c r="M51" s="61" t="s">
        <v>11</v>
      </c>
      <c r="N51" s="63" t="s">
        <v>59</v>
      </c>
    </row>
    <row r="52" spans="2:14" ht="15.5">
      <c r="B52" s="49">
        <v>27</v>
      </c>
      <c r="C52" s="16" t="s">
        <v>34</v>
      </c>
      <c r="D52" s="41">
        <v>0.05</v>
      </c>
      <c r="E52" s="7">
        <v>64.459999999999994</v>
      </c>
      <c r="F52" s="7">
        <v>65.040000000000006</v>
      </c>
      <c r="G52" s="70">
        <v>73.459999999999994</v>
      </c>
      <c r="H52" s="3">
        <f>ROUNDDOWN(D52*$H$2/Tableau14[[#This Row],[COURS 27/01]],0)</f>
        <v>62053</v>
      </c>
      <c r="I52" s="2">
        <f>H52*Tableau14[[#This Row],[COURS 07/02]]</f>
        <v>4558413.38</v>
      </c>
      <c r="J52" s="19">
        <v>0.91300000000000003</v>
      </c>
      <c r="K52" s="19"/>
      <c r="L52" s="19"/>
      <c r="M52" s="4">
        <f t="shared" ref="M52:M80" si="1">J52*D52</f>
        <v>4.5650000000000003E-2</v>
      </c>
      <c r="N52" s="50">
        <f>(Tableau14[[#This Row],[COURS 07/02]]-Tableau14[[#This Row],[COURS 31/01]])/Tableau14[[#This Row],[COURS 31/01]]</f>
        <v>0.12945879458794568</v>
      </c>
    </row>
    <row r="53" spans="2:14" ht="15.5">
      <c r="B53" s="49">
        <v>17</v>
      </c>
      <c r="C53" s="16" t="s">
        <v>24</v>
      </c>
      <c r="D53" s="41">
        <v>3.4500000000000003E-2</v>
      </c>
      <c r="E53" s="8">
        <v>33.69</v>
      </c>
      <c r="F53" s="8">
        <v>34.06</v>
      </c>
      <c r="G53" s="84">
        <v>38.049999999999997</v>
      </c>
      <c r="H53" s="3">
        <f>ROUNDDOWN(D53*$H$2/Tableau14[[#This Row],[COURS 27/01]],0)</f>
        <v>81923</v>
      </c>
      <c r="I53" s="2">
        <f>H53*Tableau14[[#This Row],[COURS 07/02]]</f>
        <v>3117170.15</v>
      </c>
      <c r="J53" s="19">
        <v>0.68899999999999995</v>
      </c>
      <c r="K53" s="19"/>
      <c r="L53" s="19"/>
      <c r="M53" s="4">
        <f t="shared" si="1"/>
        <v>2.37705E-2</v>
      </c>
      <c r="N53" s="50">
        <f>(Tableau14[[#This Row],[COURS 07/02]]-Tableau14[[#This Row],[COURS 31/01]])/Tableau14[[#This Row],[COURS 31/01]]</f>
        <v>0.11714621256605974</v>
      </c>
    </row>
    <row r="54" spans="2:14" ht="15.5">
      <c r="B54" s="49">
        <v>26</v>
      </c>
      <c r="C54" s="33" t="s">
        <v>33</v>
      </c>
      <c r="D54" s="41">
        <v>0.01</v>
      </c>
      <c r="E54" s="8">
        <v>6.48</v>
      </c>
      <c r="F54" s="8">
        <v>6.5</v>
      </c>
      <c r="G54" s="69">
        <v>7</v>
      </c>
      <c r="H54" s="3">
        <f>ROUNDDOWN(D54*$H$2/Tableau14[[#This Row],[COURS 27/01]],0)</f>
        <v>123456</v>
      </c>
      <c r="I54" s="2">
        <f>H54*Tableau14[[#This Row],[COURS 07/02]]</f>
        <v>864192</v>
      </c>
      <c r="J54" s="19">
        <v>1.7</v>
      </c>
      <c r="K54" s="19"/>
      <c r="L54" s="19"/>
      <c r="M54" s="4">
        <f t="shared" si="1"/>
        <v>1.7000000000000001E-2</v>
      </c>
      <c r="N54" s="50">
        <f>(Tableau14[[#This Row],[COURS 07/02]]-Tableau14[[#This Row],[COURS 31/01]])/Tableau14[[#This Row],[COURS 31/01]]</f>
        <v>7.6923076923076927E-2</v>
      </c>
    </row>
    <row r="55" spans="2:14" ht="15.5">
      <c r="B55" s="49">
        <v>15</v>
      </c>
      <c r="C55" s="16" t="s">
        <v>22</v>
      </c>
      <c r="D55" s="41">
        <v>4.4499999999999998E-2</v>
      </c>
      <c r="E55" s="8">
        <v>34.69</v>
      </c>
      <c r="F55" s="8">
        <v>34.22</v>
      </c>
      <c r="G55" s="90">
        <v>36.76</v>
      </c>
      <c r="H55" s="3">
        <f>ROUNDDOWN(D55*$H$2/Tableau14[[#This Row],[COURS 27/01]],0)</f>
        <v>102623</v>
      </c>
      <c r="I55" s="2">
        <f>H55*Tableau14[[#This Row],[COURS 07/02]]</f>
        <v>3772421.48</v>
      </c>
      <c r="J55" s="19">
        <v>0.84699999999999998</v>
      </c>
      <c r="K55" s="19"/>
      <c r="L55" s="19"/>
      <c r="M55" s="4">
        <f t="shared" si="1"/>
        <v>3.7691499999999996E-2</v>
      </c>
      <c r="N55" s="50">
        <f>(Tableau14[[#This Row],[COURS 07/02]]-Tableau14[[#This Row],[COURS 31/01]])/Tableau14[[#This Row],[COURS 31/01]]</f>
        <v>7.4225599064874317E-2</v>
      </c>
    </row>
    <row r="56" spans="2:14" ht="15.5">
      <c r="B56" s="49">
        <v>28</v>
      </c>
      <c r="C56" s="16" t="s">
        <v>4</v>
      </c>
      <c r="D56" s="41">
        <v>0.04</v>
      </c>
      <c r="E56" s="8">
        <v>173</v>
      </c>
      <c r="F56" s="8">
        <v>172.4</v>
      </c>
      <c r="G56" s="85">
        <v>185.15</v>
      </c>
      <c r="H56" s="3">
        <f>ROUNDDOWN(D56*$H$2/Tableau14[[#This Row],[COURS 27/01]],0)</f>
        <v>18497</v>
      </c>
      <c r="I56" s="2">
        <f>H56*Tableau14[[#This Row],[COURS 07/02]]</f>
        <v>3424719.5500000003</v>
      </c>
      <c r="J56" s="19">
        <v>1.1499999999999999</v>
      </c>
      <c r="K56" s="19"/>
      <c r="L56" s="19"/>
      <c r="M56" s="4">
        <f t="shared" si="1"/>
        <v>4.5999999999999999E-2</v>
      </c>
      <c r="N56" s="50">
        <f>(Tableau14[[#This Row],[COURS 07/02]]-Tableau14[[#This Row],[COURS 31/01]])/Tableau14[[#This Row],[COURS 31/01]]</f>
        <v>7.3955916473317868E-2</v>
      </c>
    </row>
    <row r="57" spans="2:14" ht="15.5">
      <c r="B57" s="49">
        <v>23</v>
      </c>
      <c r="C57" s="33" t="s">
        <v>30</v>
      </c>
      <c r="D57" s="41">
        <v>1.4500000000000001E-2</v>
      </c>
      <c r="E57" s="8">
        <v>281</v>
      </c>
      <c r="F57" s="8">
        <v>277.5</v>
      </c>
      <c r="G57" s="85">
        <v>292.5</v>
      </c>
      <c r="H57" s="3">
        <f>ROUNDDOWN(D57*$H$2/Tableau14[[#This Row],[COURS 27/01]],0)</f>
        <v>4128</v>
      </c>
      <c r="I57" s="2">
        <f>H57*Tableau14[[#This Row],[COURS 07/02]]</f>
        <v>1207440</v>
      </c>
      <c r="J57" s="19">
        <v>0.80300000000000005</v>
      </c>
      <c r="K57" s="19"/>
      <c r="L57" s="19"/>
      <c r="M57" s="4">
        <f t="shared" si="1"/>
        <v>1.1643500000000001E-2</v>
      </c>
      <c r="N57" s="50">
        <f>(Tableau14[[#This Row],[COURS 07/02]]-Tableau14[[#This Row],[COURS 31/01]])/Tableau14[[#This Row],[COURS 31/01]]</f>
        <v>5.4054054054054057E-2</v>
      </c>
    </row>
    <row r="58" spans="2:14" ht="15.5">
      <c r="B58" s="49">
        <v>24</v>
      </c>
      <c r="C58" s="33" t="s">
        <v>31</v>
      </c>
      <c r="D58" s="41">
        <v>1.4500000000000001E-2</v>
      </c>
      <c r="E58" s="8">
        <v>166.15</v>
      </c>
      <c r="F58" s="8">
        <v>167.25</v>
      </c>
      <c r="G58" s="82">
        <v>174.5</v>
      </c>
      <c r="H58" s="3">
        <f>ROUNDDOWN(D58*$H$2/Tableau14[[#This Row],[COURS 27/01]],0)</f>
        <v>6981</v>
      </c>
      <c r="I58" s="2">
        <f>H58*Tableau14[[#This Row],[COURS 07/02]]</f>
        <v>1218184.5</v>
      </c>
      <c r="J58" s="19">
        <v>0.91200000000000003</v>
      </c>
      <c r="K58" s="19"/>
      <c r="L58" s="19"/>
      <c r="M58" s="4">
        <f t="shared" si="1"/>
        <v>1.3224000000000001E-2</v>
      </c>
      <c r="N58" s="50">
        <f>(Tableau14[[#This Row],[COURS 07/02]]-Tableau14[[#This Row],[COURS 31/01]])/Tableau14[[#This Row],[COURS 31/01]]</f>
        <v>4.3348281016442454E-2</v>
      </c>
    </row>
    <row r="59" spans="2:14" ht="15.5">
      <c r="B59" s="49">
        <v>25</v>
      </c>
      <c r="C59" s="33" t="s">
        <v>32</v>
      </c>
      <c r="D59" s="41">
        <v>0.02</v>
      </c>
      <c r="E59" s="8">
        <v>49.85</v>
      </c>
      <c r="F59" s="8">
        <v>48</v>
      </c>
      <c r="G59" s="83">
        <v>49.95</v>
      </c>
      <c r="H59" s="3">
        <f>ROUNDDOWN(D59*$H$2/Tableau14[[#This Row],[COURS 27/01]],0)</f>
        <v>32096</v>
      </c>
      <c r="I59" s="2">
        <f>H59*Tableau14[[#This Row],[COURS 07/02]]</f>
        <v>1603195.2000000002</v>
      </c>
      <c r="J59" s="19">
        <v>1.36</v>
      </c>
      <c r="K59" s="19"/>
      <c r="L59" s="19"/>
      <c r="M59" s="4">
        <f t="shared" si="1"/>
        <v>2.7200000000000002E-2</v>
      </c>
      <c r="N59" s="50">
        <f>(Tableau14[[#This Row],[COURS 07/02]]-Tableau14[[#This Row],[COURS 31/01]])/Tableau14[[#This Row],[COURS 31/01]]</f>
        <v>4.0625000000000057E-2</v>
      </c>
    </row>
    <row r="60" spans="2:14" ht="15.5">
      <c r="B60" s="49">
        <v>14</v>
      </c>
      <c r="C60" s="16" t="s">
        <v>21</v>
      </c>
      <c r="D60" s="41">
        <v>4.4999999999999998E-2</v>
      </c>
      <c r="E60" s="8">
        <v>43.69</v>
      </c>
      <c r="F60" s="8">
        <v>43.42</v>
      </c>
      <c r="G60" s="71">
        <v>45.155000000000001</v>
      </c>
      <c r="H60" s="3">
        <f>ROUNDDOWN(D60*$H$2/Tableau14[[#This Row],[COURS 27/01]],0)</f>
        <v>82398</v>
      </c>
      <c r="I60" s="2">
        <f>H60*Tableau14[[#This Row],[COURS 07/02]]</f>
        <v>3720681.69</v>
      </c>
      <c r="J60" s="19">
        <v>1.29</v>
      </c>
      <c r="K60" s="19"/>
      <c r="L60" s="19"/>
      <c r="M60" s="4">
        <f t="shared" si="1"/>
        <v>5.8049999999999997E-2</v>
      </c>
      <c r="N60" s="50">
        <f>(Tableau14[[#This Row],[COURS 07/02]]-Tableau14[[#This Row],[COURS 31/01]])/Tableau14[[#This Row],[COURS 31/01]]</f>
        <v>3.99585444495624E-2</v>
      </c>
    </row>
    <row r="61" spans="2:14" ht="15.5">
      <c r="B61" s="49">
        <v>7</v>
      </c>
      <c r="C61" s="15" t="s">
        <v>16</v>
      </c>
      <c r="D61" s="41">
        <v>0.05</v>
      </c>
      <c r="E61" s="9">
        <v>147.88</v>
      </c>
      <c r="F61" s="9">
        <v>147.13999999999999</v>
      </c>
      <c r="G61" s="88">
        <v>152.66</v>
      </c>
      <c r="H61" s="3">
        <f>ROUNDDOWN(D61*$H$2/Tableau14[[#This Row],[COURS 27/01]],0)</f>
        <v>27048</v>
      </c>
      <c r="I61" s="2">
        <f>H61*Tableau14[[#This Row],[COURS 07/02]]</f>
        <v>4129147.6799999997</v>
      </c>
      <c r="J61" s="19">
        <v>1</v>
      </c>
      <c r="K61" s="19"/>
      <c r="L61" s="19"/>
      <c r="M61" s="4">
        <f t="shared" si="1"/>
        <v>0.05</v>
      </c>
      <c r="N61" s="50">
        <f>(Tableau14[[#This Row],[COURS 07/02]]-Tableau14[[#This Row],[COURS 31/01]])/Tableau14[[#This Row],[COURS 31/01]]</f>
        <v>3.7515291559059472E-2</v>
      </c>
    </row>
    <row r="62" spans="2:14" ht="15.5">
      <c r="B62" s="49">
        <v>21</v>
      </c>
      <c r="C62" s="33" t="s">
        <v>28</v>
      </c>
      <c r="D62" s="41">
        <v>0.02</v>
      </c>
      <c r="E62" s="8">
        <v>63.15</v>
      </c>
      <c r="F62" s="8">
        <v>62.75</v>
      </c>
      <c r="G62" s="67">
        <v>65.099999999999994</v>
      </c>
      <c r="H62" s="3">
        <f>ROUNDDOWN(D62*$H$2/Tableau14[[#This Row],[COURS 27/01]],0)</f>
        <v>25336</v>
      </c>
      <c r="I62" s="2">
        <f>H62*Tableau14[[#This Row],[COURS 07/02]]</f>
        <v>1649373.5999999999</v>
      </c>
      <c r="J62" s="19">
        <v>1.43</v>
      </c>
      <c r="K62" s="19"/>
      <c r="L62" s="19"/>
      <c r="M62" s="4">
        <f t="shared" si="1"/>
        <v>2.86E-2</v>
      </c>
      <c r="N62" s="50">
        <f>(Tableau14[[#This Row],[COURS 07/02]]-Tableau14[[#This Row],[COURS 31/01]])/Tableau14[[#This Row],[COURS 31/01]]</f>
        <v>3.7450199203187158E-2</v>
      </c>
    </row>
    <row r="63" spans="2:14" ht="15.5">
      <c r="B63" s="49">
        <v>16</v>
      </c>
      <c r="C63" s="16" t="s">
        <v>23</v>
      </c>
      <c r="D63" s="41">
        <v>0.05</v>
      </c>
      <c r="E63" s="8">
        <v>184.2</v>
      </c>
      <c r="F63" s="8">
        <v>186.3</v>
      </c>
      <c r="G63" s="82">
        <v>192.2</v>
      </c>
      <c r="H63" s="3">
        <f>ROUNDDOWN(D63*$H$2/Tableau14[[#This Row],[COURS 27/01]],0)</f>
        <v>21715</v>
      </c>
      <c r="I63" s="2">
        <f>H63*Tableau14[[#This Row],[COURS 07/02]]</f>
        <v>4173622.9999999995</v>
      </c>
      <c r="J63" s="19">
        <v>0.43</v>
      </c>
      <c r="K63" s="19"/>
      <c r="L63" s="19"/>
      <c r="M63" s="4">
        <f t="shared" si="1"/>
        <v>2.1500000000000002E-2</v>
      </c>
      <c r="N63" s="50">
        <f>(Tableau14[[#This Row],[COURS 07/02]]-Tableau14[[#This Row],[COURS 31/01]])/Tableau14[[#This Row],[COURS 31/01]]</f>
        <v>3.1669350509930097E-2</v>
      </c>
    </row>
    <row r="64" spans="2:14" ht="15.5">
      <c r="B64" s="49">
        <v>10</v>
      </c>
      <c r="C64" s="15" t="s">
        <v>18</v>
      </c>
      <c r="D64" s="41">
        <v>0.05</v>
      </c>
      <c r="E64" s="11">
        <v>1697.5</v>
      </c>
      <c r="F64" s="11" t="s">
        <v>58</v>
      </c>
      <c r="G64" s="72">
        <v>1741.5</v>
      </c>
      <c r="H64" s="3">
        <f>ROUNDDOWN(D64*$H$2/Tableau14[[#This Row],[COURS 27/01]],0)</f>
        <v>2356</v>
      </c>
      <c r="I64" s="2">
        <f>H64*Tableau14[[#This Row],[COURS 07/02]]</f>
        <v>4102974</v>
      </c>
      <c r="J64" s="19">
        <v>0.65700000000000003</v>
      </c>
      <c r="K64" s="19"/>
      <c r="L64" s="19"/>
      <c r="M64" s="4">
        <f t="shared" si="1"/>
        <v>3.2850000000000004E-2</v>
      </c>
      <c r="N64" s="50">
        <f>(Tableau14[[#This Row],[COURS 07/02]]-Tableau14[[#This Row],[COURS 31/01]])/Tableau14[[#This Row],[COURS 31/01]]</f>
        <v>2.8951255539143281E-2</v>
      </c>
    </row>
    <row r="65" spans="2:14" ht="15.5">
      <c r="B65" s="49">
        <v>20</v>
      </c>
      <c r="C65" s="33" t="s">
        <v>27</v>
      </c>
      <c r="D65" s="41">
        <v>0.02</v>
      </c>
      <c r="E65" s="8">
        <v>54.19</v>
      </c>
      <c r="F65" s="8">
        <v>53.27</v>
      </c>
      <c r="G65" s="84">
        <v>54.68</v>
      </c>
      <c r="H65" s="3">
        <f>ROUNDDOWN(D65*$H$2/Tableau14[[#This Row],[COURS 27/01]],0)</f>
        <v>29525</v>
      </c>
      <c r="I65" s="2">
        <f>H65*Tableau14[[#This Row],[COURS 07/02]]</f>
        <v>1614427</v>
      </c>
      <c r="J65" s="19">
        <v>1.36</v>
      </c>
      <c r="K65" s="19"/>
      <c r="L65" s="19"/>
      <c r="M65" s="4">
        <f t="shared" si="1"/>
        <v>2.7200000000000002E-2</v>
      </c>
      <c r="N65" s="50">
        <f>(Tableau14[[#This Row],[COURS 07/02]]-Tableau14[[#This Row],[COURS 31/01]])/Tableau14[[#This Row],[COURS 31/01]]</f>
        <v>2.6468931856579624E-2</v>
      </c>
    </row>
    <row r="66" spans="2:14" ht="15.5">
      <c r="B66" s="49">
        <v>12</v>
      </c>
      <c r="C66" s="17" t="s">
        <v>19</v>
      </c>
      <c r="D66" s="41">
        <v>0.04</v>
      </c>
      <c r="E66" s="8">
        <v>557.70000000000005</v>
      </c>
      <c r="F66" s="8">
        <v>565.70000000000005</v>
      </c>
      <c r="G66" s="82">
        <v>579.5</v>
      </c>
      <c r="H66" s="3">
        <f>ROUNDDOWN(D66*$H$2/Tableau14[[#This Row],[COURS 27/01]],0)</f>
        <v>5737</v>
      </c>
      <c r="I66" s="2">
        <f>H66*Tableau14[[#This Row],[COURS 07/02]]</f>
        <v>3324591.5</v>
      </c>
      <c r="J66" s="19">
        <v>1.07</v>
      </c>
      <c r="K66" s="19"/>
      <c r="L66" s="19"/>
      <c r="M66" s="4">
        <f t="shared" si="1"/>
        <v>4.2800000000000005E-2</v>
      </c>
      <c r="N66" s="50">
        <f>(Tableau14[[#This Row],[COURS 07/02]]-Tableau14[[#This Row],[COURS 31/01]])/Tableau14[[#This Row],[COURS 31/01]]</f>
        <v>2.4394555418066032E-2</v>
      </c>
    </row>
    <row r="67" spans="2:14" ht="15.5">
      <c r="B67" s="49">
        <v>3</v>
      </c>
      <c r="C67" s="15" t="s">
        <v>13</v>
      </c>
      <c r="D67" s="41">
        <v>0.05</v>
      </c>
      <c r="E67" s="7">
        <v>801</v>
      </c>
      <c r="F67" s="7">
        <v>797.1</v>
      </c>
      <c r="G67" s="86">
        <v>812.6</v>
      </c>
      <c r="H67" s="3">
        <f>ROUNDDOWN(D67*$H$2/Tableau14[[#This Row],[COURS 27/01]],0)</f>
        <v>4993</v>
      </c>
      <c r="I67" s="2">
        <f>H67*Tableau14[[#This Row],[COURS 07/02]]</f>
        <v>4057311.8000000003</v>
      </c>
      <c r="J67" s="19">
        <v>0.96399999999999997</v>
      </c>
      <c r="K67" s="19"/>
      <c r="L67" s="19"/>
      <c r="M67" s="4">
        <f t="shared" si="1"/>
        <v>4.82E-2</v>
      </c>
      <c r="N67" s="50">
        <f>(Tableau14[[#This Row],[COURS 07/02]]-Tableau14[[#This Row],[COURS 31/01]])/Tableau14[[#This Row],[COURS 31/01]]</f>
        <v>1.944548990089073E-2</v>
      </c>
    </row>
    <row r="68" spans="2:14" ht="15.5">
      <c r="B68" s="49">
        <v>2</v>
      </c>
      <c r="C68" s="15" t="s">
        <v>12</v>
      </c>
      <c r="D68" s="41">
        <v>0.04</v>
      </c>
      <c r="E68" s="6">
        <v>116.62</v>
      </c>
      <c r="F68" s="6">
        <v>112.56</v>
      </c>
      <c r="G68" s="67">
        <v>114</v>
      </c>
      <c r="H68" s="3">
        <f>ROUNDDOWN(D68*$H$2/Tableau14[[#This Row],[COURS 27/01]],0)</f>
        <v>27439</v>
      </c>
      <c r="I68" s="2">
        <f>H68*Tableau14[[#This Row],[COURS 07/02]]</f>
        <v>3128046</v>
      </c>
      <c r="J68" s="19">
        <v>1.7</v>
      </c>
      <c r="K68" s="19"/>
      <c r="L68" s="19"/>
      <c r="M68" s="4">
        <f t="shared" si="1"/>
        <v>6.8000000000000005E-2</v>
      </c>
      <c r="N68" s="50">
        <f>(Tableau14[[#This Row],[COURS 07/02]]-Tableau14[[#This Row],[COURS 31/01]])/Tableau14[[#This Row],[COURS 31/01]]</f>
        <v>1.2793176972281429E-2</v>
      </c>
    </row>
    <row r="69" spans="2:14" ht="15.5">
      <c r="B69" s="49">
        <v>4</v>
      </c>
      <c r="C69" s="15" t="s">
        <v>5</v>
      </c>
      <c r="D69" s="41">
        <v>0.05</v>
      </c>
      <c r="E69" s="7">
        <v>378.45</v>
      </c>
      <c r="F69" s="7">
        <v>378.55</v>
      </c>
      <c r="G69" s="89">
        <v>380.65</v>
      </c>
      <c r="H69" s="3">
        <f>ROUNDDOWN(D69*$H$2/Tableau14[[#This Row],[COURS 27/01]],0)</f>
        <v>10569</v>
      </c>
      <c r="I69" s="2">
        <f>H69*Tableau14[[#This Row],[COURS 07/02]]</f>
        <v>4023089.8499999996</v>
      </c>
      <c r="J69" s="19">
        <v>0.60399999999999998</v>
      </c>
      <c r="K69" s="19"/>
      <c r="L69" s="19"/>
      <c r="M69" s="4">
        <f t="shared" si="1"/>
        <v>3.0200000000000001E-2</v>
      </c>
      <c r="N69" s="50">
        <f>(Tableau14[[#This Row],[COURS 07/02]]-Tableau14[[#This Row],[COURS 31/01]])/Tableau14[[#This Row],[COURS 31/01]]</f>
        <v>5.5474838198387687E-3</v>
      </c>
    </row>
    <row r="70" spans="2:14" ht="15.5">
      <c r="B70" s="49">
        <v>8</v>
      </c>
      <c r="C70" s="32" t="s">
        <v>17</v>
      </c>
      <c r="D70" s="41">
        <v>0.02</v>
      </c>
      <c r="E70" s="10">
        <v>105.04</v>
      </c>
      <c r="F70" s="10">
        <v>104.14</v>
      </c>
      <c r="G70" s="71">
        <v>104.7</v>
      </c>
      <c r="H70" s="3">
        <f>ROUNDDOWN(D70*$H$2/Tableau14[[#This Row],[COURS 27/01]],0)</f>
        <v>15232</v>
      </c>
      <c r="I70" s="2">
        <f>H70*Tableau14[[#This Row],[COURS 07/02]]</f>
        <v>1594790.4000000001</v>
      </c>
      <c r="J70" s="19">
        <v>0.95299999999999996</v>
      </c>
      <c r="K70" s="19"/>
      <c r="L70" s="19"/>
      <c r="M70" s="4">
        <f t="shared" si="1"/>
        <v>1.9060000000000001E-2</v>
      </c>
      <c r="N70" s="50">
        <f>(Tableau14[[#This Row],[COURS 07/02]]-Tableau14[[#This Row],[COURS 31/01]])/Tableau14[[#This Row],[COURS 31/01]]</f>
        <v>5.3773766084117755E-3</v>
      </c>
    </row>
    <row r="71" spans="2:14" ht="15.5">
      <c r="B71" s="49">
        <v>1</v>
      </c>
      <c r="C71" s="32" t="s">
        <v>6</v>
      </c>
      <c r="D71" s="41">
        <v>2.8000000000000001E-2</v>
      </c>
      <c r="E71" s="5">
        <v>49.53</v>
      </c>
      <c r="F71" s="5">
        <v>50.25</v>
      </c>
      <c r="G71" s="87">
        <v>50.42</v>
      </c>
      <c r="H71" s="3">
        <f>ROUNDDOWN(D71*$H$2/Tableau14[[#This Row],[COURS 27/01]],0)</f>
        <v>45225</v>
      </c>
      <c r="I71" s="2">
        <f>H71*Tableau14[[#This Row],[COURS 07/02]]</f>
        <v>2280244.5</v>
      </c>
      <c r="J71" s="19">
        <v>0.49</v>
      </c>
      <c r="K71" s="19"/>
      <c r="L71" s="19"/>
      <c r="M71" s="4">
        <f t="shared" si="1"/>
        <v>1.372E-2</v>
      </c>
      <c r="N71" s="50">
        <f>(Tableau14[[#This Row],[COURS 07/02]]-Tableau14[[#This Row],[COURS 31/01]])/Tableau14[[#This Row],[COURS 31/01]]</f>
        <v>3.3830845771144619E-3</v>
      </c>
    </row>
    <row r="72" spans="2:14" ht="15.5">
      <c r="B72" s="49">
        <v>11</v>
      </c>
      <c r="C72" s="33" t="s">
        <v>7</v>
      </c>
      <c r="D72" s="41">
        <v>1.4999999999999999E-2</v>
      </c>
      <c r="E72" s="8">
        <v>30.25</v>
      </c>
      <c r="F72" s="8">
        <v>30.35</v>
      </c>
      <c r="G72" s="71">
        <v>30.36</v>
      </c>
      <c r="H72" s="3">
        <f>ROUNDDOWN(D72*$H$2/Tableau14[[#This Row],[COURS 27/01]],0)</f>
        <v>39669</v>
      </c>
      <c r="I72" s="2">
        <f>H72*Tableau14[[#This Row],[COURS 07/02]]</f>
        <v>1204350.8400000001</v>
      </c>
      <c r="J72" s="19">
        <v>0.95499999999999996</v>
      </c>
      <c r="K72" s="19"/>
      <c r="L72" s="19"/>
      <c r="M72" s="4">
        <f t="shared" si="1"/>
        <v>1.4324999999999999E-2</v>
      </c>
      <c r="N72" s="50">
        <f>(Tableau14[[#This Row],[COURS 07/02]]-Tableau14[[#This Row],[COURS 31/01]])/Tableau14[[#This Row],[COURS 31/01]]</f>
        <v>3.2948929159795751E-4</v>
      </c>
    </row>
    <row r="73" spans="2:14" ht="15.5">
      <c r="B73" s="49">
        <v>13</v>
      </c>
      <c r="C73" s="32" t="s">
        <v>20</v>
      </c>
      <c r="D73" s="41">
        <v>3.4500000000000003E-2</v>
      </c>
      <c r="E73" s="8">
        <v>132.19999999999999</v>
      </c>
      <c r="F73" s="8">
        <v>131.36000000000001</v>
      </c>
      <c r="G73" s="71">
        <v>131.24</v>
      </c>
      <c r="H73" s="3">
        <f>ROUNDDOWN(D73*$H$2/Tableau14[[#This Row],[COURS 27/01]],0)</f>
        <v>20877</v>
      </c>
      <c r="I73" s="2">
        <f>H73*Tableau14[[#This Row],[COURS 07/02]]</f>
        <v>2739897.48</v>
      </c>
      <c r="J73" s="19">
        <v>1.33</v>
      </c>
      <c r="K73" s="19"/>
      <c r="L73" s="19"/>
      <c r="M73" s="4">
        <f t="shared" si="1"/>
        <v>4.5885000000000009E-2</v>
      </c>
      <c r="N73" s="50">
        <f>(Tableau14[[#This Row],[COURS 07/02]]-Tableau14[[#This Row],[COURS 31/01]])/Tableau14[[#This Row],[COURS 31/01]]</f>
        <v>-9.1352009744217826E-4</v>
      </c>
    </row>
    <row r="74" spans="2:14" ht="15.5">
      <c r="B74" s="49">
        <v>22</v>
      </c>
      <c r="C74" s="16" t="s">
        <v>29</v>
      </c>
      <c r="D74" s="41">
        <v>0.05</v>
      </c>
      <c r="E74" s="8">
        <v>121.3</v>
      </c>
      <c r="F74" s="8">
        <v>120.45</v>
      </c>
      <c r="G74" s="71">
        <v>118.75</v>
      </c>
      <c r="H74" s="3">
        <f>ROUNDDOWN(D74*$H$2/Tableau14[[#This Row],[COURS 27/01]],0)</f>
        <v>32976</v>
      </c>
      <c r="I74" s="2">
        <f>H74*Tableau14[[#This Row],[COURS 07/02]]</f>
        <v>3915900</v>
      </c>
      <c r="J74" s="19">
        <v>0.63500000000000001</v>
      </c>
      <c r="K74" s="19"/>
      <c r="L74" s="19"/>
      <c r="M74" s="4">
        <f t="shared" si="1"/>
        <v>3.175E-2</v>
      </c>
      <c r="N74" s="50">
        <f>(Tableau14[[#This Row],[COURS 07/02]]-Tableau14[[#This Row],[COURS 31/01]])/Tableau14[[#This Row],[COURS 31/01]]</f>
        <v>-1.4113740141137424E-2</v>
      </c>
    </row>
    <row r="75" spans="2:14" ht="15.5">
      <c r="B75" s="49">
        <v>18</v>
      </c>
      <c r="C75" s="33" t="s">
        <v>25</v>
      </c>
      <c r="D75" s="41">
        <v>1.4999999999999999E-2</v>
      </c>
      <c r="E75" s="8">
        <v>62.03</v>
      </c>
      <c r="F75" s="8">
        <v>62.66</v>
      </c>
      <c r="G75" s="67">
        <v>61.24</v>
      </c>
      <c r="H75" s="3">
        <f>ROUNDDOWN(D75*$H$2/Tableau14[[#This Row],[COURS 27/01]],0)</f>
        <v>19345</v>
      </c>
      <c r="I75" s="2">
        <f>H75*Tableau14[[#This Row],[COURS 07/02]]</f>
        <v>1184687.8</v>
      </c>
      <c r="J75" s="19">
        <v>1.73</v>
      </c>
      <c r="K75" s="19"/>
      <c r="L75" s="19"/>
      <c r="M75" s="4">
        <f t="shared" si="1"/>
        <v>2.5949999999999997E-2</v>
      </c>
      <c r="N75" s="50">
        <f>(Tableau14[[#This Row],[COURS 07/02]]-Tableau14[[#This Row],[COURS 31/01]])/Tableau14[[#This Row],[COURS 31/01]]</f>
        <v>-2.2661985317586893E-2</v>
      </c>
    </row>
    <row r="76" spans="2:14" ht="15.5">
      <c r="B76" s="49">
        <v>19</v>
      </c>
      <c r="C76" s="33" t="s">
        <v>26</v>
      </c>
      <c r="D76" s="41">
        <v>0.03</v>
      </c>
      <c r="E76" s="7">
        <v>17.510000000000002</v>
      </c>
      <c r="F76" s="7">
        <v>17.52</v>
      </c>
      <c r="G76" s="70">
        <v>17.100000000000001</v>
      </c>
      <c r="H76" s="3">
        <f>ROUNDDOWN(D76*$H$2/Tableau14[[#This Row],[COURS 27/01]],0)</f>
        <v>137064</v>
      </c>
      <c r="I76" s="2">
        <f>H76*Tableau14[[#This Row],[COURS 07/02]]</f>
        <v>2343794.4000000004</v>
      </c>
      <c r="J76" s="19">
        <v>0.54900000000000004</v>
      </c>
      <c r="K76" s="19"/>
      <c r="L76" s="19"/>
      <c r="M76" s="4">
        <f t="shared" si="1"/>
        <v>1.6470000000000002E-2</v>
      </c>
      <c r="N76" s="50">
        <f>(Tableau14[[#This Row],[COURS 07/02]]-Tableau14[[#This Row],[COURS 31/01]])/Tableau14[[#This Row],[COURS 31/01]]</f>
        <v>-2.3972602739725922E-2</v>
      </c>
    </row>
    <row r="77" spans="2:14" ht="15.5">
      <c r="B77" s="49">
        <v>5</v>
      </c>
      <c r="C77" s="15" t="s">
        <v>14</v>
      </c>
      <c r="D77" s="41">
        <v>0.05</v>
      </c>
      <c r="E77" s="8">
        <v>58.62</v>
      </c>
      <c r="F77" s="8">
        <v>57.89</v>
      </c>
      <c r="G77" s="67">
        <v>56.47</v>
      </c>
      <c r="H77" s="3">
        <f>ROUNDDOWN(D77*$H$2/Tableau14[[#This Row],[COURS 27/01]],0)</f>
        <v>68236</v>
      </c>
      <c r="I77" s="2">
        <f>H77*Tableau14[[#This Row],[COURS 07/02]]</f>
        <v>3853286.92</v>
      </c>
      <c r="J77" s="19">
        <v>0.99299999999999999</v>
      </c>
      <c r="K77" s="19"/>
      <c r="L77" s="19"/>
      <c r="M77" s="4">
        <f t="shared" si="1"/>
        <v>4.965E-2</v>
      </c>
      <c r="N77" s="50">
        <f>(Tableau14[[#This Row],[COURS 07/02]]-Tableau14[[#This Row],[COURS 31/01]])/Tableau14[[#This Row],[COURS 31/01]]</f>
        <v>-2.452927966833653E-2</v>
      </c>
    </row>
    <row r="78" spans="2:14" ht="15.5">
      <c r="B78" s="49">
        <v>6</v>
      </c>
      <c r="C78" s="15" t="s">
        <v>15</v>
      </c>
      <c r="D78" s="41">
        <v>0.05</v>
      </c>
      <c r="E78" s="9">
        <v>148.26</v>
      </c>
      <c r="F78" s="9">
        <v>147.80000000000001</v>
      </c>
      <c r="G78" s="85">
        <v>144</v>
      </c>
      <c r="H78" s="3">
        <f>ROUNDDOWN(D78*$H$2/Tableau14[[#This Row],[COURS 27/01]],0)</f>
        <v>26979</v>
      </c>
      <c r="I78" s="2">
        <f>H78*Tableau14[[#This Row],[COURS 07/02]]</f>
        <v>3884976</v>
      </c>
      <c r="J78" s="19">
        <v>0.63600000000000001</v>
      </c>
      <c r="K78" s="19"/>
      <c r="L78" s="19"/>
      <c r="M78" s="4">
        <f t="shared" si="1"/>
        <v>3.1800000000000002E-2</v>
      </c>
      <c r="N78" s="50">
        <f>(Tableau14[[#This Row],[COURS 07/02]]-Tableau14[[#This Row],[COURS 31/01]])/Tableau14[[#This Row],[COURS 31/01]]</f>
        <v>-2.5710419485791686E-2</v>
      </c>
    </row>
    <row r="79" spans="2:14" ht="15.5">
      <c r="B79" s="49">
        <v>9</v>
      </c>
      <c r="C79" s="16" t="s">
        <v>3</v>
      </c>
      <c r="D79" s="41">
        <v>0.05</v>
      </c>
      <c r="E79" s="9">
        <v>89.55</v>
      </c>
      <c r="F79" s="9">
        <v>89.73</v>
      </c>
      <c r="G79" s="66">
        <v>85.56</v>
      </c>
      <c r="H79" s="3">
        <f>ROUNDDOWN(D79*$H$2/Tableau14[[#This Row],[COURS 27/01]],0)</f>
        <v>44667</v>
      </c>
      <c r="I79" s="2">
        <f>H79*Tableau14[[#This Row],[COURS 07/02]]</f>
        <v>3821708.52</v>
      </c>
      <c r="J79" s="19">
        <v>0.41599999999999998</v>
      </c>
      <c r="K79" s="19"/>
      <c r="L79" s="19"/>
      <c r="M79" s="4">
        <f t="shared" si="1"/>
        <v>2.0799999999999999E-2</v>
      </c>
      <c r="N79" s="50">
        <f>(Tableau14[[#This Row],[COURS 07/02]]-Tableau14[[#This Row],[COURS 31/01]])/Tableau14[[#This Row],[COURS 31/01]]</f>
        <v>-4.6472751588097647E-2</v>
      </c>
    </row>
    <row r="80" spans="2:14" ht="15.5">
      <c r="B80" s="51">
        <v>29</v>
      </c>
      <c r="C80" s="52" t="s">
        <v>35</v>
      </c>
      <c r="D80" s="53">
        <v>1.4500000000000001E-2</v>
      </c>
      <c r="E80" s="54">
        <v>14.9</v>
      </c>
      <c r="F80" s="54">
        <v>15.88</v>
      </c>
      <c r="G80" s="68">
        <v>14.1</v>
      </c>
      <c r="H80" s="55">
        <f>ROUNDDOWN(D80*$H$2/Tableau14[[#This Row],[COURS 27/01]],0)</f>
        <v>77852</v>
      </c>
      <c r="I80" s="56">
        <f>H80*Tableau14[[#This Row],[COURS 07/02]]</f>
        <v>1097713.2</v>
      </c>
      <c r="J80" s="57">
        <v>1.38</v>
      </c>
      <c r="K80" s="57"/>
      <c r="L80" s="57"/>
      <c r="M80" s="58">
        <f t="shared" si="1"/>
        <v>2.001E-2</v>
      </c>
      <c r="N80" s="59">
        <f>(Tableau14[[#This Row],[COURS 07/02]]-Tableau14[[#This Row],[COURS 31/01]])/Tableau14[[#This Row],[COURS 31/01]]</f>
        <v>-0.11209068010075574</v>
      </c>
    </row>
    <row r="81" spans="2:14" ht="15.5">
      <c r="B81" s="139" t="s">
        <v>54</v>
      </c>
      <c r="C81" s="139"/>
      <c r="D81" s="38">
        <f>SUM(D52:D80)</f>
        <v>1.0000000000000004</v>
      </c>
      <c r="E81" s="37"/>
      <c r="F81" s="37"/>
      <c r="G81" s="37"/>
      <c r="H81" s="37"/>
      <c r="I81" s="64">
        <f>SUM(I52:I80)</f>
        <v>81610352.439999998</v>
      </c>
      <c r="J81" s="20" t="s">
        <v>40</v>
      </c>
      <c r="K81" s="20"/>
      <c r="L81" s="20"/>
      <c r="M81" s="43">
        <f>SUM(M52:M80)</f>
        <v>0.91899949999999986</v>
      </c>
      <c r="N81" s="65">
        <f>SUM(Tableau14[[Performance ]])</f>
        <v>0.61255618525256006</v>
      </c>
    </row>
  </sheetData>
  <mergeCells count="6">
    <mergeCell ref="B49:N50"/>
    <mergeCell ref="B81:C81"/>
    <mergeCell ref="J46:N46"/>
    <mergeCell ref="B39:C39"/>
    <mergeCell ref="B41:P42"/>
    <mergeCell ref="B7:M8"/>
  </mergeCells>
  <phoneticPr fontId="20" type="noConversion"/>
  <conditionalFormatting sqref="N10:N38">
    <cfRule type="cellIs" dxfId="10" priority="3" operator="lessThan">
      <formula>0</formula>
    </cfRule>
    <cfRule type="cellIs" dxfId="9" priority="4" operator="greaterThan">
      <formula>0</formula>
    </cfRule>
  </conditionalFormatting>
  <conditionalFormatting sqref="N52:N80">
    <cfRule type="cellIs" dxfId="8" priority="1" operator="lessThan">
      <formula>0</formula>
    </cfRule>
    <cfRule type="cellIs" dxfId="7" priority="2" operator="greaterThan">
      <formula>0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74169-D005-46D0-A885-9883141D5C48}">
  <sheetPr codeName="Feuil3"/>
  <dimension ref="B1:R81"/>
  <sheetViews>
    <sheetView topLeftCell="C1" zoomScale="70" zoomScaleNormal="70" workbookViewId="0">
      <selection activeCell="J4" sqref="J4"/>
    </sheetView>
  </sheetViews>
  <sheetFormatPr baseColWidth="10" defaultRowHeight="14.5"/>
  <cols>
    <col min="2" max="2" width="14.453125" customWidth="1"/>
    <col min="3" max="3" width="30.26953125" bestFit="1" customWidth="1"/>
    <col min="4" max="4" width="20" style="34" customWidth="1"/>
    <col min="5" max="5" width="22.453125" customWidth="1"/>
    <col min="6" max="6" width="21.7265625" hidden="1" customWidth="1"/>
    <col min="7" max="8" width="22.453125" bestFit="1" customWidth="1"/>
    <col min="9" max="9" width="17.81640625" customWidth="1"/>
    <col min="10" max="10" width="31" customWidth="1"/>
    <col min="11" max="11" width="15.7265625" bestFit="1" customWidth="1"/>
    <col min="12" max="12" width="18.26953125" hidden="1" customWidth="1"/>
    <col min="13" max="14" width="18.26953125" customWidth="1"/>
    <col min="15" max="15" width="22" bestFit="1" customWidth="1"/>
    <col min="16" max="16" width="23.81640625" customWidth="1"/>
    <col min="17" max="17" width="20.453125" bestFit="1" customWidth="1"/>
    <col min="18" max="18" width="15.81640625" bestFit="1" customWidth="1"/>
  </cols>
  <sheetData>
    <row r="1" spans="2:17">
      <c r="E1" s="14" t="s">
        <v>37</v>
      </c>
      <c r="F1" s="14"/>
      <c r="G1" s="14"/>
      <c r="H1" s="14"/>
      <c r="I1" s="14" t="s">
        <v>36</v>
      </c>
    </row>
    <row r="2" spans="2:17">
      <c r="E2" s="1" t="s">
        <v>52</v>
      </c>
      <c r="F2" s="1"/>
      <c r="G2" s="1"/>
      <c r="H2" s="1"/>
      <c r="I2" s="12">
        <f>100000000-I4-I5-I3</f>
        <v>80000000</v>
      </c>
      <c r="O2" s="36"/>
    </row>
    <row r="3" spans="2:17">
      <c r="C3" s="34"/>
      <c r="E3" s="1" t="s">
        <v>41</v>
      </c>
      <c r="F3" s="1"/>
      <c r="G3" s="1"/>
      <c r="H3" s="1"/>
      <c r="I3" s="12">
        <v>10000000</v>
      </c>
    </row>
    <row r="4" spans="2:17">
      <c r="E4" s="1" t="s">
        <v>39</v>
      </c>
      <c r="F4" s="1"/>
      <c r="G4" s="1"/>
      <c r="H4" s="1"/>
      <c r="I4" s="12">
        <f>0.1*100000000</f>
        <v>10000000</v>
      </c>
      <c r="K4" s="34"/>
      <c r="L4" s="34"/>
      <c r="M4" s="34"/>
      <c r="N4" s="34"/>
    </row>
    <row r="5" spans="2:17">
      <c r="E5" s="1"/>
      <c r="F5" s="1"/>
      <c r="G5" s="1"/>
      <c r="H5" s="1"/>
      <c r="I5" s="13"/>
    </row>
    <row r="6" spans="2:17">
      <c r="I6" s="18"/>
    </row>
    <row r="7" spans="2:17" ht="15" customHeight="1">
      <c r="B7" s="140" t="s">
        <v>76</v>
      </c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42"/>
    </row>
    <row r="8" spans="2:17" ht="18.75" customHeight="1"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42"/>
    </row>
    <row r="9" spans="2:17" ht="15.5">
      <c r="B9" s="60" t="s">
        <v>2</v>
      </c>
      <c r="C9" s="61" t="s">
        <v>0</v>
      </c>
      <c r="D9" s="62" t="s">
        <v>8</v>
      </c>
      <c r="E9" s="61" t="s">
        <v>56</v>
      </c>
      <c r="F9" s="61" t="s">
        <v>57</v>
      </c>
      <c r="G9" s="61" t="s">
        <v>60</v>
      </c>
      <c r="H9" s="61" t="s">
        <v>75</v>
      </c>
      <c r="I9" s="61" t="s">
        <v>10</v>
      </c>
      <c r="J9" s="61" t="s">
        <v>9</v>
      </c>
      <c r="K9" s="61" t="s">
        <v>1</v>
      </c>
      <c r="L9" s="61" t="s">
        <v>61</v>
      </c>
      <c r="M9" s="61" t="s">
        <v>64</v>
      </c>
      <c r="N9" s="61" t="s">
        <v>71</v>
      </c>
      <c r="O9" s="61" t="s">
        <v>11</v>
      </c>
      <c r="P9" s="63" t="s">
        <v>74</v>
      </c>
    </row>
    <row r="10" spans="2:17" ht="15.5">
      <c r="B10" s="49">
        <v>5</v>
      </c>
      <c r="C10" s="15" t="s">
        <v>14</v>
      </c>
      <c r="D10" s="41">
        <v>3.5000000000000003E-2</v>
      </c>
      <c r="E10" s="8">
        <v>58.62</v>
      </c>
      <c r="F10" s="8">
        <v>57.89</v>
      </c>
      <c r="G10" s="97">
        <v>56.47</v>
      </c>
      <c r="H10" s="97">
        <v>59.34</v>
      </c>
      <c r="I10" s="3">
        <f>ROUNDDOWN(D10*$I$2/Tableau15[[#This Row],[COURS 27/01]],0)</f>
        <v>47765</v>
      </c>
      <c r="J10" s="2">
        <f>I10*Tableau15[[#This Row],[COURS 13/02]]</f>
        <v>2834375.1</v>
      </c>
      <c r="K10" s="19">
        <v>0.99299999999999999</v>
      </c>
      <c r="L10" s="19"/>
      <c r="M10" s="19"/>
      <c r="N10" s="19"/>
      <c r="O10" s="4">
        <f t="shared" ref="O10:O38" si="0">K10*D10</f>
        <v>3.4755000000000001E-2</v>
      </c>
      <c r="P10" s="50">
        <f>(Tableau15[[#This Row],[COURS 13/02]]-Tableau15[[#This Row],[COURS 07/02]])/Tableau15[[#This Row],[COURS 07/02]]</f>
        <v>5.0823446077563388E-2</v>
      </c>
    </row>
    <row r="11" spans="2:17" ht="15.5">
      <c r="B11" s="49">
        <v>18</v>
      </c>
      <c r="C11" s="33" t="s">
        <v>25</v>
      </c>
      <c r="D11" s="41">
        <v>4.4999999999999998E-2</v>
      </c>
      <c r="E11" s="8">
        <v>62.03</v>
      </c>
      <c r="F11" s="8">
        <v>62.66</v>
      </c>
      <c r="G11" s="90">
        <v>61.24</v>
      </c>
      <c r="H11" s="90">
        <v>63.75</v>
      </c>
      <c r="I11" s="3">
        <f>ROUNDDOWN(D11*$I$2/Tableau15[[#This Row],[COURS 27/01]],0)</f>
        <v>58036</v>
      </c>
      <c r="J11" s="2">
        <f>I11*Tableau15[[#This Row],[COURS 13/02]]</f>
        <v>3699795</v>
      </c>
      <c r="K11" s="19">
        <v>1.73</v>
      </c>
      <c r="L11" s="19"/>
      <c r="M11" s="19"/>
      <c r="N11" s="19"/>
      <c r="O11" s="4">
        <f t="shared" si="0"/>
        <v>7.7850000000000003E-2</v>
      </c>
      <c r="P11" s="50">
        <f>(Tableau15[[#This Row],[COURS 13/02]]-Tableau15[[#This Row],[COURS 07/02]])/Tableau15[[#This Row],[COURS 07/02]]</f>
        <v>4.0986283474853002E-2</v>
      </c>
    </row>
    <row r="12" spans="2:17" ht="15.5">
      <c r="B12" s="49">
        <v>29</v>
      </c>
      <c r="C12" s="95" t="s">
        <v>70</v>
      </c>
      <c r="D12" s="41">
        <f>4%</f>
        <v>0.04</v>
      </c>
      <c r="E12" s="8">
        <v>39.33</v>
      </c>
      <c r="F12" s="8">
        <v>15.88</v>
      </c>
      <c r="G12" s="83">
        <v>39.33</v>
      </c>
      <c r="H12" s="83">
        <v>40.85</v>
      </c>
      <c r="I12" s="3">
        <f>ROUNDDOWN(D12*$I$2/Tableau15[[#This Row],[COURS 27/01]],0)</f>
        <v>81362</v>
      </c>
      <c r="J12" s="2">
        <f>I12*Tableau15[[#This Row],[COURS 13/02]]</f>
        <v>3323637.7</v>
      </c>
      <c r="K12" s="19">
        <v>1.67</v>
      </c>
      <c r="L12" s="19"/>
      <c r="M12" s="19"/>
      <c r="N12" s="19"/>
      <c r="O12" s="4">
        <f t="shared" si="0"/>
        <v>6.6799999999999998E-2</v>
      </c>
      <c r="P12" s="50">
        <f>(Tableau15[[#This Row],[COURS 13/02]]-Tableau15[[#This Row],[COURS 07/02]])/Tableau15[[#This Row],[COURS 07/02]]</f>
        <v>3.8647342995169164E-2</v>
      </c>
    </row>
    <row r="13" spans="2:17" ht="15.5">
      <c r="B13" s="49">
        <v>9</v>
      </c>
      <c r="C13" s="16" t="s">
        <v>3</v>
      </c>
      <c r="D13" s="41">
        <v>0.03</v>
      </c>
      <c r="E13" s="9">
        <v>89.55</v>
      </c>
      <c r="F13" s="9">
        <v>89.73</v>
      </c>
      <c r="G13" s="84">
        <v>85.56</v>
      </c>
      <c r="H13" s="84">
        <v>88.52</v>
      </c>
      <c r="I13" s="3">
        <f>ROUNDDOWN(D13*$I$2/Tableau15[[#This Row],[COURS 27/01]],0)</f>
        <v>26800</v>
      </c>
      <c r="J13" s="2">
        <f>I13*Tableau15[[#This Row],[COURS 13/02]]</f>
        <v>2372336</v>
      </c>
      <c r="K13" s="19">
        <v>0.41599999999999998</v>
      </c>
      <c r="L13" s="19"/>
      <c r="M13" s="19"/>
      <c r="N13" s="19"/>
      <c r="O13" s="4">
        <f t="shared" si="0"/>
        <v>1.248E-2</v>
      </c>
      <c r="P13" s="50">
        <f>(Tableau15[[#This Row],[COURS 13/02]]-Tableau15[[#This Row],[COURS 07/02]])/Tableau15[[#This Row],[COURS 07/02]]</f>
        <v>3.4595605423094831E-2</v>
      </c>
    </row>
    <row r="14" spans="2:17" ht="15.5">
      <c r="B14" s="49">
        <v>22</v>
      </c>
      <c r="C14" s="16" t="s">
        <v>29</v>
      </c>
      <c r="D14" s="41">
        <v>0.05</v>
      </c>
      <c r="E14" s="8">
        <v>121.3</v>
      </c>
      <c r="F14" s="8">
        <v>120.45</v>
      </c>
      <c r="G14" s="85">
        <v>118.75</v>
      </c>
      <c r="H14" s="92">
        <v>122.45</v>
      </c>
      <c r="I14" s="3">
        <f>ROUNDDOWN(D14*$I$2/Tableau15[[#This Row],[COURS 27/01]],0)</f>
        <v>32976</v>
      </c>
      <c r="J14" s="2">
        <f>I14*Tableau15[[#This Row],[COURS 13/02]]</f>
        <v>4037911.2</v>
      </c>
      <c r="K14" s="19">
        <v>0.63500000000000001</v>
      </c>
      <c r="L14" s="19"/>
      <c r="M14" s="19"/>
      <c r="N14" s="19"/>
      <c r="O14" s="4">
        <f t="shared" si="0"/>
        <v>3.175E-2</v>
      </c>
      <c r="P14" s="50">
        <f>(Tableau15[[#This Row],[COURS 13/02]]-Tableau15[[#This Row],[COURS 07/02]])/Tableau15[[#This Row],[COURS 07/02]]</f>
        <v>3.1157894736842131E-2</v>
      </c>
    </row>
    <row r="15" spans="2:17" ht="15.5">
      <c r="B15" s="49">
        <v>25</v>
      </c>
      <c r="C15" s="33" t="s">
        <v>32</v>
      </c>
      <c r="D15" s="41">
        <v>0.02</v>
      </c>
      <c r="E15" s="8">
        <v>49.85</v>
      </c>
      <c r="F15" s="8">
        <v>48</v>
      </c>
      <c r="G15" s="96">
        <v>49.95</v>
      </c>
      <c r="H15" s="100">
        <v>51.3</v>
      </c>
      <c r="I15" s="3">
        <f>ROUNDDOWN(D15*$I$2/Tableau15[[#This Row],[COURS 27/01]],0)</f>
        <v>32096</v>
      </c>
      <c r="J15" s="2">
        <f>I15*Tableau15[[#This Row],[COURS 13/02]]</f>
        <v>1646524.7999999998</v>
      </c>
      <c r="K15" s="19">
        <v>1.36</v>
      </c>
      <c r="L15" s="19"/>
      <c r="M15" s="19"/>
      <c r="N15" s="19"/>
      <c r="O15" s="4">
        <f t="shared" si="0"/>
        <v>2.7200000000000002E-2</v>
      </c>
      <c r="P15" s="50">
        <f>(Tableau15[[#This Row],[COURS 13/02]]-Tableau15[[#This Row],[COURS 07/02]])/Tableau15[[#This Row],[COURS 07/02]]</f>
        <v>2.7027027027026911E-2</v>
      </c>
    </row>
    <row r="16" spans="2:17" ht="15.5">
      <c r="B16" s="49">
        <v>26</v>
      </c>
      <c r="C16" s="33" t="s">
        <v>33</v>
      </c>
      <c r="D16" s="41">
        <v>0.01</v>
      </c>
      <c r="E16" s="8">
        <v>6.48</v>
      </c>
      <c r="F16" s="8">
        <v>6.5</v>
      </c>
      <c r="G16" s="82">
        <v>7</v>
      </c>
      <c r="H16" s="82">
        <v>7.13</v>
      </c>
      <c r="I16" s="3">
        <f>ROUNDDOWN(D16*$I$2/Tableau15[[#This Row],[COURS 27/01]],0)</f>
        <v>123456</v>
      </c>
      <c r="J16" s="2">
        <f>I16*Tableau15[[#This Row],[COURS 13/02]]</f>
        <v>880241.28</v>
      </c>
      <c r="K16" s="19">
        <v>1.7</v>
      </c>
      <c r="L16" s="19"/>
      <c r="M16" s="19"/>
      <c r="N16" s="19"/>
      <c r="O16" s="4">
        <f t="shared" si="0"/>
        <v>1.7000000000000001E-2</v>
      </c>
      <c r="P16" s="50">
        <f>(Tableau15[[#This Row],[COURS 13/02]]-Tableau15[[#This Row],[COURS 07/02]])/Tableau15[[#This Row],[COURS 07/02]]</f>
        <v>1.8571428571428555E-2</v>
      </c>
    </row>
    <row r="17" spans="2:18" ht="15.5">
      <c r="B17" s="49">
        <v>27</v>
      </c>
      <c r="C17" s="16" t="s">
        <v>34</v>
      </c>
      <c r="D17" s="41">
        <v>0.05</v>
      </c>
      <c r="E17" s="7">
        <v>64.459999999999994</v>
      </c>
      <c r="F17" s="7">
        <v>65.040000000000006</v>
      </c>
      <c r="G17" s="104">
        <v>73.459999999999994</v>
      </c>
      <c r="H17" s="104">
        <v>74.180000000000007</v>
      </c>
      <c r="I17" s="3">
        <f>ROUNDDOWN(D17*$I$2/Tableau15[[#This Row],[COURS 27/01]],0)</f>
        <v>62053</v>
      </c>
      <c r="J17" s="2">
        <f>I17*Tableau15[[#This Row],[COURS 13/02]]</f>
        <v>4603091.54</v>
      </c>
      <c r="K17" s="19">
        <v>0.91300000000000003</v>
      </c>
      <c r="L17" s="19"/>
      <c r="M17" s="19"/>
      <c r="N17" s="19"/>
      <c r="O17" s="4">
        <f t="shared" si="0"/>
        <v>4.5650000000000003E-2</v>
      </c>
      <c r="P17" s="50">
        <f>(Tableau15[[#This Row],[COURS 13/02]]-Tableau15[[#This Row],[COURS 07/02]])/Tableau15[[#This Row],[COURS 07/02]]</f>
        <v>9.8012523822490222E-3</v>
      </c>
    </row>
    <row r="18" spans="2:18" ht="15.5">
      <c r="B18" s="49">
        <v>8</v>
      </c>
      <c r="C18" s="32" t="s">
        <v>17</v>
      </c>
      <c r="D18" s="41">
        <v>0.03</v>
      </c>
      <c r="E18" s="10">
        <v>105.04</v>
      </c>
      <c r="F18" s="10">
        <v>104.14</v>
      </c>
      <c r="G18" s="71">
        <v>104.7</v>
      </c>
      <c r="H18" s="71">
        <v>105.16</v>
      </c>
      <c r="I18" s="3">
        <f>ROUNDDOWN(D18*$I$2/Tableau15[[#This Row],[COURS 27/01]],0)</f>
        <v>22848</v>
      </c>
      <c r="J18" s="2">
        <f>I18*Tableau15[[#This Row],[COURS 13/02]]</f>
        <v>2402695.6799999997</v>
      </c>
      <c r="K18" s="19">
        <v>0.95299999999999996</v>
      </c>
      <c r="L18" s="19"/>
      <c r="M18" s="19"/>
      <c r="N18" s="19"/>
      <c r="O18" s="4">
        <f t="shared" si="0"/>
        <v>2.8589999999999997E-2</v>
      </c>
      <c r="P18" s="50">
        <f>(Tableau15[[#This Row],[COURS 13/02]]-Tableau15[[#This Row],[COURS 07/02]])/Tableau15[[#This Row],[COURS 07/02]]</f>
        <v>4.3935052531040471E-3</v>
      </c>
    </row>
    <row r="19" spans="2:18" ht="15.5">
      <c r="B19" s="49">
        <v>2</v>
      </c>
      <c r="C19" s="15" t="s">
        <v>12</v>
      </c>
      <c r="D19" s="41">
        <v>0.04</v>
      </c>
      <c r="E19" s="6">
        <v>116.62</v>
      </c>
      <c r="F19" s="6">
        <v>112.56</v>
      </c>
      <c r="G19" s="90">
        <v>114</v>
      </c>
      <c r="H19" s="90">
        <v>114.3</v>
      </c>
      <c r="I19" s="3">
        <f>ROUNDDOWN(D19*$I$2/Tableau15[[#This Row],[COURS 27/01]],0)</f>
        <v>27439</v>
      </c>
      <c r="J19" s="2">
        <f>I19*Tableau15[[#This Row],[COURS 13/02]]</f>
        <v>3136277.6999999997</v>
      </c>
      <c r="K19" s="19">
        <v>1.7</v>
      </c>
      <c r="L19" s="19"/>
      <c r="M19" s="19"/>
      <c r="N19" s="19"/>
      <c r="O19" s="4">
        <f t="shared" si="0"/>
        <v>6.8000000000000005E-2</v>
      </c>
      <c r="P19" s="50">
        <f>(Tableau15[[#This Row],[COURS 13/02]]-Tableau15[[#This Row],[COURS 07/02]])/Tableau15[[#This Row],[COURS 07/02]]</f>
        <v>2.6315789473683963E-3</v>
      </c>
    </row>
    <row r="20" spans="2:18" ht="15.5">
      <c r="B20" s="49">
        <v>14</v>
      </c>
      <c r="C20" s="16" t="s">
        <v>21</v>
      </c>
      <c r="D20" s="41">
        <v>4.4999999999999998E-2</v>
      </c>
      <c r="E20" s="8">
        <v>43.69</v>
      </c>
      <c r="F20" s="8">
        <v>43.42</v>
      </c>
      <c r="G20" s="85">
        <v>45.155000000000001</v>
      </c>
      <c r="H20" s="92">
        <v>45.244999999999997</v>
      </c>
      <c r="I20" s="3">
        <f>ROUNDDOWN(D20*$I$2/Tableau15[[#This Row],[COURS 27/01]],0)</f>
        <v>82398</v>
      </c>
      <c r="J20" s="2">
        <f>I20*Tableau15[[#This Row],[COURS 13/02]]</f>
        <v>3728097.51</v>
      </c>
      <c r="K20" s="19">
        <v>1.29</v>
      </c>
      <c r="L20" s="19"/>
      <c r="M20" s="19"/>
      <c r="N20" s="19"/>
      <c r="O20" s="4">
        <f t="shared" si="0"/>
        <v>5.8049999999999997E-2</v>
      </c>
      <c r="P20" s="50">
        <f>(Tableau15[[#This Row],[COURS 13/02]]-Tableau15[[#This Row],[COURS 07/02]])/Tableau15[[#This Row],[COURS 07/02]]</f>
        <v>1.9931347580555044E-3</v>
      </c>
    </row>
    <row r="21" spans="2:18" ht="15.5">
      <c r="B21" s="49">
        <v>1</v>
      </c>
      <c r="C21" s="32" t="s">
        <v>6</v>
      </c>
      <c r="D21" s="41">
        <v>2.8000000000000001E-2</v>
      </c>
      <c r="E21" s="5">
        <v>49.53</v>
      </c>
      <c r="F21" s="5">
        <v>50.25</v>
      </c>
      <c r="G21" s="99">
        <v>50.42</v>
      </c>
      <c r="H21" s="99">
        <v>50.34</v>
      </c>
      <c r="I21" s="3">
        <f>ROUNDDOWN(D21*$I$2/Tableau15[[#This Row],[COURS 27/01]],0)</f>
        <v>45225</v>
      </c>
      <c r="J21" s="2">
        <f>I21*Tableau15[[#This Row],[COURS 13/02]]</f>
        <v>2276626.5</v>
      </c>
      <c r="K21" s="19">
        <v>0.49</v>
      </c>
      <c r="L21" s="19"/>
      <c r="M21" s="19"/>
      <c r="N21" s="19"/>
      <c r="O21" s="4">
        <f t="shared" si="0"/>
        <v>1.372E-2</v>
      </c>
      <c r="P21" s="50">
        <f>(Tableau15[[#This Row],[COURS 13/02]]-Tableau15[[#This Row],[COURS 07/02]])/Tableau15[[#This Row],[COURS 07/02]]</f>
        <v>-1.5866719555731514E-3</v>
      </c>
    </row>
    <row r="22" spans="2:18" ht="15.5">
      <c r="B22" s="49">
        <v>4</v>
      </c>
      <c r="C22" s="15" t="s">
        <v>5</v>
      </c>
      <c r="D22" s="41">
        <v>0.05</v>
      </c>
      <c r="E22" s="7">
        <v>378.45</v>
      </c>
      <c r="F22" s="7">
        <v>378.55</v>
      </c>
      <c r="G22" s="105">
        <v>380.65</v>
      </c>
      <c r="H22" s="105">
        <v>380</v>
      </c>
      <c r="I22" s="3">
        <f>ROUNDDOWN(D22*$I$2/Tableau15[[#This Row],[COURS 27/01]],0)</f>
        <v>10569</v>
      </c>
      <c r="J22" s="2">
        <f>I22*Tableau15[[#This Row],[COURS 13/02]]</f>
        <v>4016220</v>
      </c>
      <c r="K22" s="19">
        <v>0.60399999999999998</v>
      </c>
      <c r="L22" s="19"/>
      <c r="M22" s="19"/>
      <c r="N22" s="19"/>
      <c r="O22" s="4">
        <f t="shared" si="0"/>
        <v>3.0200000000000001E-2</v>
      </c>
      <c r="P22" s="50">
        <f>(Tableau15[[#This Row],[COURS 13/02]]-Tableau15[[#This Row],[COURS 07/02]])/Tableau15[[#This Row],[COURS 07/02]]</f>
        <v>-1.7076054117955532E-3</v>
      </c>
      <c r="Q22">
        <f>100-99.52</f>
        <v>0.48000000000000398</v>
      </c>
    </row>
    <row r="23" spans="2:18" ht="15.5">
      <c r="B23" s="49">
        <v>13</v>
      </c>
      <c r="C23" s="32" t="s">
        <v>20</v>
      </c>
      <c r="D23" s="41">
        <v>3.4500000000000003E-2</v>
      </c>
      <c r="E23" s="8">
        <v>132.19999999999999</v>
      </c>
      <c r="F23" s="8">
        <v>131.36000000000001</v>
      </c>
      <c r="G23" s="88">
        <v>131.24</v>
      </c>
      <c r="H23" s="88">
        <v>130.54</v>
      </c>
      <c r="I23" s="3">
        <f>ROUNDDOWN(D23*$I$2/Tableau15[[#This Row],[COURS 27/01]],0)</f>
        <v>20877</v>
      </c>
      <c r="J23" s="2">
        <f>I23*Tableau15[[#This Row],[COURS 13/02]]</f>
        <v>2725283.5799999996</v>
      </c>
      <c r="K23" s="19">
        <v>1.33</v>
      </c>
      <c r="L23" s="19"/>
      <c r="M23" s="19"/>
      <c r="N23" s="19"/>
      <c r="O23" s="4">
        <f t="shared" si="0"/>
        <v>4.5885000000000009E-2</v>
      </c>
      <c r="P23" s="50">
        <f>(Tableau15[[#This Row],[COURS 13/02]]-Tableau15[[#This Row],[COURS 07/02]])/Tableau15[[#This Row],[COURS 07/02]]</f>
        <v>-5.3337397135021104E-3</v>
      </c>
    </row>
    <row r="24" spans="2:18" ht="15.5">
      <c r="B24" s="49">
        <v>6</v>
      </c>
      <c r="C24" s="15" t="s">
        <v>15</v>
      </c>
      <c r="D24" s="75">
        <v>3.5000000000000003E-2</v>
      </c>
      <c r="E24" s="9">
        <v>148.26</v>
      </c>
      <c r="F24" s="9">
        <v>147.80000000000001</v>
      </c>
      <c r="G24" s="71">
        <v>144</v>
      </c>
      <c r="H24" s="71">
        <v>142.9</v>
      </c>
      <c r="I24" s="3">
        <f>ROUNDDOWN(D24*$I$2/Tableau15[[#This Row],[COURS 27/01]],0)</f>
        <v>18885</v>
      </c>
      <c r="J24" s="2">
        <f>I24*Tableau15[[#This Row],[COURS 13/02]]</f>
        <v>2698666.5</v>
      </c>
      <c r="K24" s="19">
        <v>0.63600000000000001</v>
      </c>
      <c r="L24" s="19"/>
      <c r="M24" s="19"/>
      <c r="N24" s="19"/>
      <c r="O24" s="4">
        <f t="shared" si="0"/>
        <v>2.2260000000000002E-2</v>
      </c>
      <c r="P24" s="50">
        <f>(Tableau15[[#This Row],[COURS 13/02]]-Tableau15[[#This Row],[COURS 07/02]])/Tableau15[[#This Row],[COURS 07/02]]</f>
        <v>-7.6388888888888496E-3</v>
      </c>
    </row>
    <row r="25" spans="2:18" ht="15.5">
      <c r="B25" s="49">
        <v>11</v>
      </c>
      <c r="C25" s="33" t="s">
        <v>7</v>
      </c>
      <c r="D25" s="41">
        <v>1.4999999999999999E-2</v>
      </c>
      <c r="E25" s="8">
        <v>30.25</v>
      </c>
      <c r="F25" s="8">
        <v>30.35</v>
      </c>
      <c r="G25" s="71">
        <v>30.36</v>
      </c>
      <c r="H25" s="71">
        <v>30.126000000000001</v>
      </c>
      <c r="I25" s="3">
        <f>ROUNDDOWN(D25*$I$2/Tableau15[[#This Row],[COURS 27/01]],0)</f>
        <v>39669</v>
      </c>
      <c r="J25" s="2">
        <f>I25*Tableau15[[#This Row],[COURS 13/02]]</f>
        <v>1195068.294</v>
      </c>
      <c r="K25" s="19">
        <v>0.95499999999999996</v>
      </c>
      <c r="L25" s="19"/>
      <c r="M25" s="19"/>
      <c r="N25" s="19"/>
      <c r="O25" s="4">
        <f t="shared" si="0"/>
        <v>1.4324999999999999E-2</v>
      </c>
      <c r="P25" s="50">
        <f>(Tableau15[[#This Row],[COURS 13/02]]-Tableau15[[#This Row],[COURS 07/02]])/Tableau15[[#This Row],[COURS 07/02]]</f>
        <v>-7.7075098814228657E-3</v>
      </c>
      <c r="Q25">
        <f>20470*G35</f>
        <v>11862365</v>
      </c>
    </row>
    <row r="26" spans="2:18" ht="15.5">
      <c r="B26" s="49">
        <v>23</v>
      </c>
      <c r="C26" s="33" t="s">
        <v>30</v>
      </c>
      <c r="D26" s="41">
        <v>1.35E-2</v>
      </c>
      <c r="E26" s="8">
        <v>281</v>
      </c>
      <c r="F26" s="8">
        <v>277.5</v>
      </c>
      <c r="G26" s="85">
        <v>292.5</v>
      </c>
      <c r="H26" s="92">
        <v>289</v>
      </c>
      <c r="I26" s="3">
        <f>ROUNDDOWN(D26*$I$2/Tableau15[[#This Row],[COURS 27/01]],0)</f>
        <v>3843</v>
      </c>
      <c r="J26" s="2">
        <f>I26*Tableau15[[#This Row],[COURS 13/02]]</f>
        <v>1110627</v>
      </c>
      <c r="K26" s="19">
        <v>0.80300000000000005</v>
      </c>
      <c r="L26" s="19"/>
      <c r="M26" s="19"/>
      <c r="N26" s="19"/>
      <c r="O26" s="4">
        <f t="shared" si="0"/>
        <v>1.0840500000000001E-2</v>
      </c>
      <c r="P26" s="50">
        <f>(Tableau15[[#This Row],[COURS 13/02]]-Tableau15[[#This Row],[COURS 07/02]])/Tableau15[[#This Row],[COURS 07/02]]</f>
        <v>-1.1965811965811967E-2</v>
      </c>
    </row>
    <row r="27" spans="2:18" ht="15.5">
      <c r="B27" s="49">
        <v>28</v>
      </c>
      <c r="C27" s="16" t="s">
        <v>4</v>
      </c>
      <c r="D27" s="41">
        <v>0.04</v>
      </c>
      <c r="E27" s="8">
        <v>173</v>
      </c>
      <c r="F27" s="8">
        <v>172.4</v>
      </c>
      <c r="G27" s="71">
        <v>185.15</v>
      </c>
      <c r="H27" s="71">
        <v>182.9</v>
      </c>
      <c r="I27" s="3">
        <f>ROUNDDOWN(D27*$I$2/Tableau15[[#This Row],[COURS 27/01]],0)</f>
        <v>18497</v>
      </c>
      <c r="J27" s="2">
        <f>I27*Tableau15[[#This Row],[COURS 13/02]]</f>
        <v>3383101.3000000003</v>
      </c>
      <c r="K27" s="19">
        <v>1.1499999999999999</v>
      </c>
      <c r="L27" s="19"/>
      <c r="M27" s="19"/>
      <c r="N27" s="19"/>
      <c r="O27" s="4">
        <f t="shared" si="0"/>
        <v>4.5999999999999999E-2</v>
      </c>
      <c r="P27" s="50">
        <f>(Tableau15[[#This Row],[COURS 13/02]]-Tableau15[[#This Row],[COURS 07/02]])/Tableau15[[#This Row],[COURS 07/02]]</f>
        <v>-1.2152308938698352E-2</v>
      </c>
    </row>
    <row r="28" spans="2:18" ht="15.5">
      <c r="B28" s="49">
        <v>3</v>
      </c>
      <c r="C28" s="15" t="s">
        <v>13</v>
      </c>
      <c r="D28" s="41">
        <v>0.05</v>
      </c>
      <c r="E28" s="7">
        <v>801</v>
      </c>
      <c r="F28" s="7">
        <v>797.1</v>
      </c>
      <c r="G28" s="86">
        <v>812.6</v>
      </c>
      <c r="H28" s="86">
        <v>800.5</v>
      </c>
      <c r="I28" s="3">
        <f>ROUNDDOWN(D28*$I$2/Tableau15[[#This Row],[COURS 27/01]],0)</f>
        <v>4993</v>
      </c>
      <c r="J28" s="2">
        <f>I28*Tableau15[[#This Row],[COURS 13/02]]</f>
        <v>3996896.5</v>
      </c>
      <c r="K28" s="19">
        <v>0.96399999999999997</v>
      </c>
      <c r="L28" s="19"/>
      <c r="M28" s="19"/>
      <c r="N28" s="19"/>
      <c r="O28" s="4">
        <f t="shared" si="0"/>
        <v>4.82E-2</v>
      </c>
      <c r="P28" s="50">
        <f>(Tableau15[[#This Row],[COURS 13/02]]-Tableau15[[#This Row],[COURS 07/02]])/Tableau15[[#This Row],[COURS 07/02]]</f>
        <v>-1.4890475018459293E-2</v>
      </c>
    </row>
    <row r="29" spans="2:18" ht="15.5">
      <c r="B29" s="49">
        <v>21</v>
      </c>
      <c r="C29" s="33" t="s">
        <v>28</v>
      </c>
      <c r="D29" s="41">
        <v>0.02</v>
      </c>
      <c r="E29" s="8">
        <v>63.15</v>
      </c>
      <c r="F29" s="8">
        <v>62.75</v>
      </c>
      <c r="G29" s="67">
        <v>65.099999999999994</v>
      </c>
      <c r="H29" s="93">
        <v>64.099999999999994</v>
      </c>
      <c r="I29" s="3">
        <f>ROUNDDOWN(D29*$I$2/Tableau15[[#This Row],[COURS 27/01]],0)</f>
        <v>25336</v>
      </c>
      <c r="J29" s="2">
        <f>I29*Tableau15[[#This Row],[COURS 13/02]]</f>
        <v>1624037.5999999999</v>
      </c>
      <c r="K29" s="19">
        <v>1.43</v>
      </c>
      <c r="L29" s="19"/>
      <c r="M29" s="19"/>
      <c r="N29" s="19"/>
      <c r="O29" s="4">
        <f t="shared" si="0"/>
        <v>2.86E-2</v>
      </c>
      <c r="P29" s="50">
        <f>(Tableau15[[#This Row],[COURS 13/02]]-Tableau15[[#This Row],[COURS 07/02]])/Tableau15[[#This Row],[COURS 07/02]]</f>
        <v>-1.5360983102918589E-2</v>
      </c>
    </row>
    <row r="30" spans="2:18" ht="15.5">
      <c r="B30" s="49">
        <v>7</v>
      </c>
      <c r="C30" s="15" t="s">
        <v>16</v>
      </c>
      <c r="D30" s="41">
        <v>0.05</v>
      </c>
      <c r="E30" s="9">
        <v>147.88</v>
      </c>
      <c r="F30" s="9">
        <v>147.13999999999999</v>
      </c>
      <c r="G30" s="71">
        <v>152.66</v>
      </c>
      <c r="H30" s="71">
        <v>150</v>
      </c>
      <c r="I30" s="3">
        <f>ROUNDDOWN(D30*$I$2/Tableau15[[#This Row],[COURS 27/01]],0)</f>
        <v>27048</v>
      </c>
      <c r="J30" s="2">
        <f>I30*Tableau15[[#This Row],[COURS 13/02]]</f>
        <v>4057200</v>
      </c>
      <c r="K30" s="19">
        <v>1</v>
      </c>
      <c r="L30" s="19"/>
      <c r="M30" s="19"/>
      <c r="N30" s="19"/>
      <c r="O30" s="4">
        <f t="shared" si="0"/>
        <v>0.05</v>
      </c>
      <c r="P30" s="50">
        <f>(Tableau15[[#This Row],[COURS 13/02]]-Tableau15[[#This Row],[COURS 07/02]])/Tableau15[[#This Row],[COURS 07/02]]</f>
        <v>-1.74243416743089E-2</v>
      </c>
      <c r="Q30">
        <f>1.47+1.5</f>
        <v>2.9699999999999998</v>
      </c>
      <c r="R30">
        <f>1.47+1.5+1</f>
        <v>3.9699999999999998</v>
      </c>
    </row>
    <row r="31" spans="2:18" ht="15.5">
      <c r="B31" s="49">
        <v>15</v>
      </c>
      <c r="C31" s="16" t="s">
        <v>22</v>
      </c>
      <c r="D31" s="41">
        <v>4.4499999999999998E-2</v>
      </c>
      <c r="E31" s="8">
        <v>34.69</v>
      </c>
      <c r="F31" s="8">
        <v>34.22</v>
      </c>
      <c r="G31" s="97">
        <v>36.76</v>
      </c>
      <c r="H31" s="97">
        <v>35.9</v>
      </c>
      <c r="I31" s="3">
        <f>ROUNDDOWN(D31*$I$2/Tableau15[[#This Row],[COURS 27/01]],0)</f>
        <v>102623</v>
      </c>
      <c r="J31" s="2">
        <f>I31*Tableau15[[#This Row],[COURS 13/02]]</f>
        <v>3684165.6999999997</v>
      </c>
      <c r="K31" s="19">
        <v>0.84699999999999998</v>
      </c>
      <c r="L31" s="19"/>
      <c r="M31" s="19"/>
      <c r="N31" s="19"/>
      <c r="O31" s="4">
        <f t="shared" si="0"/>
        <v>3.7691499999999996E-2</v>
      </c>
      <c r="P31" s="50">
        <f>(Tableau15[[#This Row],[COURS 13/02]]-Tableau15[[#This Row],[COURS 07/02]])/Tableau15[[#This Row],[COURS 07/02]]</f>
        <v>-2.3394994559303578E-2</v>
      </c>
    </row>
    <row r="32" spans="2:18" ht="15.5">
      <c r="B32" s="49">
        <v>16</v>
      </c>
      <c r="C32" s="16" t="s">
        <v>23</v>
      </c>
      <c r="D32" s="41">
        <v>0.03</v>
      </c>
      <c r="E32" s="8">
        <v>184.2</v>
      </c>
      <c r="F32" s="8">
        <v>186.3</v>
      </c>
      <c r="G32" s="82">
        <v>192.2</v>
      </c>
      <c r="H32" s="82">
        <v>187.35</v>
      </c>
      <c r="I32" s="3">
        <f>ROUNDDOWN(D32*$I$2/Tableau15[[#This Row],[COURS 27/01]],0)</f>
        <v>13029</v>
      </c>
      <c r="J32" s="2">
        <f>I32*Tableau15[[#This Row],[COURS 13/02]]</f>
        <v>2440983.15</v>
      </c>
      <c r="K32" s="19">
        <v>0.43</v>
      </c>
      <c r="L32" s="19"/>
      <c r="M32" s="19"/>
      <c r="N32" s="19"/>
      <c r="O32" s="4">
        <f t="shared" si="0"/>
        <v>1.29E-2</v>
      </c>
      <c r="P32" s="50">
        <f>(Tableau15[[#This Row],[COURS 13/02]]-Tableau15[[#This Row],[COURS 07/02]])/Tableau15[[#This Row],[COURS 07/02]]</f>
        <v>-2.5234131113423489E-2</v>
      </c>
    </row>
    <row r="33" spans="2:18" ht="15.5">
      <c r="B33" s="49">
        <v>17</v>
      </c>
      <c r="C33" s="16" t="s">
        <v>24</v>
      </c>
      <c r="D33" s="41">
        <v>0.04</v>
      </c>
      <c r="E33" s="8">
        <v>33.69</v>
      </c>
      <c r="F33" s="8">
        <v>34.06</v>
      </c>
      <c r="G33" s="66">
        <v>38.049999999999997</v>
      </c>
      <c r="H33" s="94">
        <v>37.01</v>
      </c>
      <c r="I33" s="3">
        <f>ROUNDDOWN(D33*$I$2/Tableau15[[#This Row],[COURS 27/01]],0)</f>
        <v>94983</v>
      </c>
      <c r="J33" s="2">
        <f>I33*Tableau15[[#This Row],[COURS 13/02]]</f>
        <v>3515320.8299999996</v>
      </c>
      <c r="K33" s="19">
        <v>0.68899999999999995</v>
      </c>
      <c r="L33" s="19"/>
      <c r="M33" s="19"/>
      <c r="N33" s="19"/>
      <c r="O33" s="4">
        <f t="shared" si="0"/>
        <v>2.7559999999999998E-2</v>
      </c>
      <c r="P33" s="50">
        <f>(Tableau15[[#This Row],[COURS 13/02]]-Tableau15[[#This Row],[COURS 07/02]])/Tableau15[[#This Row],[COURS 07/02]]</f>
        <v>-2.7332457293035458E-2</v>
      </c>
      <c r="R33">
        <f>1</f>
        <v>1</v>
      </c>
    </row>
    <row r="34" spans="2:18" ht="15.5">
      <c r="B34" s="49">
        <v>24</v>
      </c>
      <c r="C34" s="33" t="s">
        <v>31</v>
      </c>
      <c r="D34" s="41">
        <v>1.4500000000000001E-2</v>
      </c>
      <c r="E34" s="8">
        <v>166.15</v>
      </c>
      <c r="F34" s="8">
        <v>167.25</v>
      </c>
      <c r="G34" s="82">
        <v>174.5</v>
      </c>
      <c r="H34" s="82">
        <v>168.6</v>
      </c>
      <c r="I34" s="3">
        <f>ROUNDDOWN(D34*$I$2/Tableau15[[#This Row],[COURS 27/01]],0)</f>
        <v>6981</v>
      </c>
      <c r="J34" s="2">
        <f>I34*Tableau15[[#This Row],[COURS 13/02]]</f>
        <v>1176996.5999999999</v>
      </c>
      <c r="K34" s="19">
        <v>0.91200000000000003</v>
      </c>
      <c r="L34" s="19"/>
      <c r="M34" s="19"/>
      <c r="N34" s="19"/>
      <c r="O34" s="4">
        <f t="shared" si="0"/>
        <v>1.3224000000000001E-2</v>
      </c>
      <c r="P34" s="50">
        <f>(Tableau15[[#This Row],[COURS 13/02]]-Tableau15[[#This Row],[COURS 07/02]])/Tableau15[[#This Row],[COURS 07/02]]</f>
        <v>-3.3810888252149028E-2</v>
      </c>
    </row>
    <row r="35" spans="2:18" ht="15.5">
      <c r="B35" s="49">
        <v>12</v>
      </c>
      <c r="C35" s="17" t="s">
        <v>19</v>
      </c>
      <c r="D35" s="41">
        <v>0.05</v>
      </c>
      <c r="E35" s="8">
        <v>557.70000000000005</v>
      </c>
      <c r="F35" s="8">
        <v>565.70000000000005</v>
      </c>
      <c r="G35" s="98">
        <v>579.5</v>
      </c>
      <c r="H35" s="101">
        <v>559.5</v>
      </c>
      <c r="I35" s="3">
        <f>ROUNDDOWN(D35*$I$2/Tableau15[[#This Row],[COURS 27/01]],0)</f>
        <v>7172</v>
      </c>
      <c r="J35" s="2">
        <f>I35*Tableau15[[#This Row],[COURS 13/02]]</f>
        <v>4012734</v>
      </c>
      <c r="K35" s="19">
        <v>1.07</v>
      </c>
      <c r="L35" s="19"/>
      <c r="M35" s="19"/>
      <c r="N35" s="19"/>
      <c r="O35" s="4">
        <f t="shared" si="0"/>
        <v>5.3500000000000006E-2</v>
      </c>
      <c r="P35" s="50">
        <f>(Tableau15[[#This Row],[COURS 13/02]]-Tableau15[[#This Row],[COURS 07/02]])/Tableau15[[#This Row],[COURS 07/02]]</f>
        <v>-3.4512510785159621E-2</v>
      </c>
    </row>
    <row r="36" spans="2:18" ht="15.5">
      <c r="B36" s="49">
        <v>10</v>
      </c>
      <c r="C36" s="15" t="s">
        <v>18</v>
      </c>
      <c r="D36" s="41">
        <v>0.05</v>
      </c>
      <c r="E36" s="11">
        <v>1697.5</v>
      </c>
      <c r="F36" s="11" t="s">
        <v>58</v>
      </c>
      <c r="G36" s="103">
        <v>1741.5</v>
      </c>
      <c r="H36" s="106">
        <v>1680</v>
      </c>
      <c r="I36" s="3">
        <f>ROUNDDOWN(D36*$I$2/Tableau15[[#This Row],[COURS 27/01]],0)</f>
        <v>2356</v>
      </c>
      <c r="J36" s="2">
        <f>I36*Tableau15[[#This Row],[COURS 13/02]]</f>
        <v>3958080</v>
      </c>
      <c r="K36" s="19">
        <v>0.65700000000000003</v>
      </c>
      <c r="L36" s="19"/>
      <c r="M36" s="19"/>
      <c r="N36" s="19"/>
      <c r="O36" s="4">
        <f t="shared" si="0"/>
        <v>3.2850000000000004E-2</v>
      </c>
      <c r="P36" s="50">
        <f>(Tableau15[[#This Row],[COURS 13/02]]-Tableau15[[#This Row],[COURS 07/02]])/Tableau15[[#This Row],[COURS 07/02]]</f>
        <v>-3.5314384151593457E-2</v>
      </c>
    </row>
    <row r="37" spans="2:18" ht="15.5">
      <c r="B37" s="49">
        <v>20</v>
      </c>
      <c r="C37" s="33" t="s">
        <v>27</v>
      </c>
      <c r="D37" s="41">
        <v>0.02</v>
      </c>
      <c r="E37" s="8">
        <v>54.19</v>
      </c>
      <c r="F37" s="8">
        <v>53.27</v>
      </c>
      <c r="G37" s="66">
        <v>54.68</v>
      </c>
      <c r="H37" s="94">
        <v>52.67</v>
      </c>
      <c r="I37" s="3">
        <f>ROUNDDOWN(D37*$I$2/Tableau15[[#This Row],[COURS 27/01]],0)</f>
        <v>29525</v>
      </c>
      <c r="J37" s="2">
        <f>I37*Tableau15[[#This Row],[COURS 13/02]]</f>
        <v>1555081.75</v>
      </c>
      <c r="K37" s="19">
        <v>1.36</v>
      </c>
      <c r="L37" s="19"/>
      <c r="M37" s="19"/>
      <c r="N37" s="19"/>
      <c r="O37" s="4">
        <f t="shared" si="0"/>
        <v>2.7200000000000002E-2</v>
      </c>
      <c r="P37" s="50">
        <f>(Tableau15[[#This Row],[COURS 13/02]]-Tableau15[[#This Row],[COURS 07/02]])/Tableau15[[#This Row],[COURS 07/02]]</f>
        <v>-3.6759326993416205E-2</v>
      </c>
      <c r="R37">
        <f>8093*148.26</f>
        <v>1199868.18</v>
      </c>
    </row>
    <row r="38" spans="2:18" ht="15.5">
      <c r="B38" s="51">
        <v>19</v>
      </c>
      <c r="C38" s="52" t="s">
        <v>26</v>
      </c>
      <c r="D38" s="53">
        <v>0.02</v>
      </c>
      <c r="E38" s="102">
        <v>17.510000000000002</v>
      </c>
      <c r="F38" s="102">
        <v>17.52</v>
      </c>
      <c r="G38" s="70">
        <v>17.100000000000001</v>
      </c>
      <c r="H38" s="70">
        <v>16.375</v>
      </c>
      <c r="I38" s="55">
        <f>ROUNDDOWN(D38*$I$2/Tableau15[[#This Row],[COURS 27/01]],0)</f>
        <v>91376</v>
      </c>
      <c r="J38" s="56">
        <f>I38*Tableau15[[#This Row],[COURS 13/02]]</f>
        <v>1496282</v>
      </c>
      <c r="K38" s="57">
        <v>0.54900000000000004</v>
      </c>
      <c r="L38" s="57"/>
      <c r="M38" s="57"/>
      <c r="N38" s="57"/>
      <c r="O38" s="58">
        <f t="shared" si="0"/>
        <v>1.0980000000000002E-2</v>
      </c>
      <c r="P38" s="59">
        <f>(Tableau15[[#This Row],[COURS 13/02]]-Tableau15[[#This Row],[COURS 07/02]])/Tableau15[[#This Row],[COURS 07/02]]</f>
        <v>-4.2397660818713531E-2</v>
      </c>
    </row>
    <row r="39" spans="2:18" ht="15.5">
      <c r="B39" s="139" t="s">
        <v>54</v>
      </c>
      <c r="C39" s="139"/>
      <c r="D39" s="38">
        <f>SUM(D10:D38)</f>
        <v>1.0000000000000002</v>
      </c>
      <c r="E39" s="37"/>
      <c r="F39" s="37"/>
      <c r="G39" s="37"/>
      <c r="H39" s="37"/>
      <c r="I39" s="37"/>
      <c r="J39" s="64">
        <f>SUM(J10:J38)</f>
        <v>81588354.813999996</v>
      </c>
      <c r="K39" s="20" t="s">
        <v>40</v>
      </c>
      <c r="L39" s="20"/>
      <c r="M39" s="20"/>
      <c r="N39" s="20"/>
      <c r="O39" s="43">
        <f>SUM(O10:O38)</f>
        <v>0.99406100000000019</v>
      </c>
      <c r="P39" s="65">
        <f>SUM(Tableau15[Performance])</f>
        <v>-9.3896190871418983E-2</v>
      </c>
    </row>
    <row r="40" spans="2:18" ht="15.5">
      <c r="B40" s="44"/>
      <c r="C40" s="44"/>
      <c r="D40" s="45"/>
      <c r="E40" s="46"/>
      <c r="F40" s="46"/>
      <c r="G40" s="46"/>
      <c r="H40" s="46"/>
      <c r="I40" s="46"/>
      <c r="J40" s="47"/>
      <c r="K40" s="44"/>
      <c r="L40" s="44"/>
      <c r="M40" s="44"/>
      <c r="N40" s="44"/>
      <c r="O40" s="48"/>
    </row>
    <row r="41" spans="2:18" ht="15" customHeight="1">
      <c r="B41" s="137" t="s">
        <v>41</v>
      </c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</row>
    <row r="42" spans="2:18" ht="15" customHeight="1"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</row>
    <row r="43" spans="2:18" ht="28.5" customHeight="1">
      <c r="B43" s="25" t="s">
        <v>42</v>
      </c>
      <c r="C43" s="25" t="s">
        <v>43</v>
      </c>
      <c r="D43" s="35" t="s">
        <v>44</v>
      </c>
      <c r="E43" s="25" t="s">
        <v>45</v>
      </c>
      <c r="F43" s="25"/>
      <c r="G43" s="25"/>
      <c r="H43" s="25"/>
      <c r="I43" s="26" t="s">
        <v>46</v>
      </c>
      <c r="J43" s="25" t="s">
        <v>47</v>
      </c>
      <c r="K43" s="26" t="s">
        <v>63</v>
      </c>
      <c r="L43" s="26" t="s">
        <v>62</v>
      </c>
      <c r="M43" s="26" t="s">
        <v>65</v>
      </c>
      <c r="N43" s="26" t="s">
        <v>77</v>
      </c>
      <c r="O43" s="29" t="s">
        <v>53</v>
      </c>
      <c r="P43" s="25" t="s">
        <v>51</v>
      </c>
      <c r="Q43" s="27" t="s">
        <v>48</v>
      </c>
      <c r="R43" s="74" t="s">
        <v>59</v>
      </c>
    </row>
    <row r="44" spans="2:18">
      <c r="B44" s="16" t="s">
        <v>49</v>
      </c>
      <c r="C44" s="21">
        <v>0.02</v>
      </c>
      <c r="D44" s="73">
        <v>48543</v>
      </c>
      <c r="E44" s="22">
        <v>45255</v>
      </c>
      <c r="F44" s="22"/>
      <c r="G44" s="22"/>
      <c r="H44" s="22"/>
      <c r="I44" s="23">
        <v>2.7019999999999999E-2</v>
      </c>
      <c r="J44" s="22">
        <v>44953</v>
      </c>
      <c r="K44" s="24">
        <v>100</v>
      </c>
      <c r="L44" s="24">
        <v>93.7</v>
      </c>
      <c r="M44" s="24">
        <v>93.73</v>
      </c>
      <c r="N44" s="24">
        <v>93.08</v>
      </c>
      <c r="O44" s="39">
        <v>0.6</v>
      </c>
      <c r="P44" s="31">
        <f>ROUNDDOWN(O44*$I$3/K44,0)</f>
        <v>60000</v>
      </c>
      <c r="Q44" s="28">
        <f>P44*N44</f>
        <v>5584800</v>
      </c>
      <c r="R44" s="75">
        <f>(N44-M44)/M44</f>
        <v>-6.9348127600555387E-3</v>
      </c>
    </row>
    <row r="45" spans="2:18">
      <c r="B45" s="16" t="s">
        <v>50</v>
      </c>
      <c r="C45" s="21">
        <v>7.4999999999999997E-3</v>
      </c>
      <c r="D45" s="22">
        <v>46898</v>
      </c>
      <c r="E45" s="22">
        <v>45071</v>
      </c>
      <c r="F45" s="22"/>
      <c r="G45" s="22"/>
      <c r="H45" s="22"/>
      <c r="I45" s="23">
        <v>2.5388000000000001E-2</v>
      </c>
      <c r="J45" s="22">
        <v>44953</v>
      </c>
      <c r="K45" s="30">
        <v>91.49</v>
      </c>
      <c r="L45" s="30">
        <v>90.72</v>
      </c>
      <c r="M45" s="30">
        <v>91.11</v>
      </c>
      <c r="N45" s="30">
        <v>90.65</v>
      </c>
      <c r="O45" s="39">
        <v>0.4</v>
      </c>
      <c r="P45" s="31">
        <f>ROUNDDOWN(O45*$I$3/K45,0)</f>
        <v>43720</v>
      </c>
      <c r="Q45" s="28">
        <f>P45*N45</f>
        <v>3963218.0000000005</v>
      </c>
      <c r="R45" s="75">
        <f>(M45-L45)/L45</f>
        <v>4.2989417989418056E-3</v>
      </c>
    </row>
    <row r="46" spans="2:18" ht="15.5">
      <c r="K46" s="139" t="s">
        <v>55</v>
      </c>
      <c r="L46" s="139"/>
      <c r="M46" s="139"/>
      <c r="N46" s="139"/>
      <c r="O46" s="139"/>
      <c r="P46" s="139"/>
      <c r="Q46" s="40">
        <f>SUM(Q44:Q45)</f>
        <v>9548018</v>
      </c>
      <c r="R46" s="76">
        <f>SUM(R44:R45)</f>
        <v>-2.6358709611137331E-3</v>
      </c>
    </row>
    <row r="49" spans="4:4">
      <c r="D49"/>
    </row>
    <row r="50" spans="4:4">
      <c r="D50"/>
    </row>
    <row r="51" spans="4:4">
      <c r="D51"/>
    </row>
    <row r="52" spans="4:4">
      <c r="D52"/>
    </row>
    <row r="53" spans="4:4">
      <c r="D53"/>
    </row>
    <row r="54" spans="4:4">
      <c r="D54"/>
    </row>
    <row r="55" spans="4:4">
      <c r="D55"/>
    </row>
    <row r="56" spans="4:4">
      <c r="D56"/>
    </row>
    <row r="57" spans="4:4">
      <c r="D57"/>
    </row>
    <row r="58" spans="4:4">
      <c r="D58"/>
    </row>
    <row r="59" spans="4:4">
      <c r="D59"/>
    </row>
    <row r="60" spans="4:4">
      <c r="D60"/>
    </row>
    <row r="61" spans="4:4">
      <c r="D61"/>
    </row>
    <row r="62" spans="4:4">
      <c r="D62"/>
    </row>
    <row r="63" spans="4:4">
      <c r="D63"/>
    </row>
    <row r="64" spans="4:4">
      <c r="D64"/>
    </row>
    <row r="65" spans="4:4">
      <c r="D65"/>
    </row>
    <row r="66" spans="4:4">
      <c r="D66"/>
    </row>
    <row r="67" spans="4:4">
      <c r="D67"/>
    </row>
    <row r="68" spans="4:4">
      <c r="D68"/>
    </row>
    <row r="69" spans="4:4">
      <c r="D69"/>
    </row>
    <row r="70" spans="4:4">
      <c r="D70"/>
    </row>
    <row r="71" spans="4:4">
      <c r="D71"/>
    </row>
    <row r="72" spans="4:4">
      <c r="D72"/>
    </row>
    <row r="73" spans="4:4">
      <c r="D73"/>
    </row>
    <row r="74" spans="4:4">
      <c r="D74"/>
    </row>
    <row r="75" spans="4:4">
      <c r="D75"/>
    </row>
    <row r="76" spans="4:4">
      <c r="D76"/>
    </row>
    <row r="77" spans="4:4">
      <c r="D77"/>
    </row>
    <row r="78" spans="4:4">
      <c r="D78"/>
    </row>
    <row r="79" spans="4:4">
      <c r="D79"/>
    </row>
    <row r="80" spans="4:4">
      <c r="D80"/>
    </row>
    <row r="81" spans="4:4">
      <c r="D81"/>
    </row>
  </sheetData>
  <mergeCells count="4">
    <mergeCell ref="B7:P8"/>
    <mergeCell ref="B39:C39"/>
    <mergeCell ref="B41:R42"/>
    <mergeCell ref="K46:P46"/>
  </mergeCells>
  <phoneticPr fontId="20" type="noConversion"/>
  <conditionalFormatting sqref="P10:P38">
    <cfRule type="cellIs" dxfId="6" priority="3" operator="lessThan">
      <formula>0</formula>
    </cfRule>
    <cfRule type="cellIs" dxfId="5" priority="4" operator="greater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FD23-A0BA-479E-B366-53B38E42A5D7}">
  <sheetPr codeName="Feuil4"/>
  <dimension ref="B1:T91"/>
  <sheetViews>
    <sheetView zoomScale="68" zoomScaleNormal="104" workbookViewId="0">
      <selection activeCell="K4" sqref="K4"/>
    </sheetView>
  </sheetViews>
  <sheetFormatPr baseColWidth="10" defaultRowHeight="14.5"/>
  <cols>
    <col min="2" max="2" width="18" bestFit="1" customWidth="1"/>
    <col min="3" max="3" width="30.26953125" bestFit="1" customWidth="1"/>
    <col min="4" max="4" width="20" style="34" customWidth="1"/>
    <col min="5" max="5" width="22.453125" customWidth="1"/>
    <col min="6" max="6" width="21.7265625" hidden="1" customWidth="1"/>
    <col min="7" max="8" width="22.453125" hidden="1" customWidth="1"/>
    <col min="9" max="9" width="22.453125" bestFit="1" customWidth="1"/>
    <col min="10" max="10" width="17.81640625" customWidth="1"/>
    <col min="11" max="11" width="31" customWidth="1"/>
    <col min="12" max="12" width="13.7265625" bestFit="1" customWidth="1"/>
    <col min="13" max="16" width="16.26953125" bestFit="1" customWidth="1"/>
    <col min="17" max="17" width="22" bestFit="1" customWidth="1"/>
    <col min="18" max="18" width="21.453125" bestFit="1" customWidth="1"/>
    <col min="19" max="19" width="20.453125" bestFit="1" customWidth="1"/>
    <col min="20" max="20" width="15.81640625" bestFit="1" customWidth="1"/>
  </cols>
  <sheetData>
    <row r="1" spans="2:19">
      <c r="E1" s="14" t="s">
        <v>37</v>
      </c>
      <c r="F1" s="14"/>
      <c r="G1" s="14"/>
      <c r="H1" s="14"/>
      <c r="I1" s="14"/>
      <c r="J1" s="14" t="s">
        <v>36</v>
      </c>
    </row>
    <row r="2" spans="2:19">
      <c r="E2" s="1" t="s">
        <v>52</v>
      </c>
      <c r="F2" s="1"/>
      <c r="G2" s="1"/>
      <c r="H2" s="1"/>
      <c r="I2" s="1"/>
      <c r="J2" s="12">
        <f>100000000-J4-J5-J3</f>
        <v>80000000</v>
      </c>
      <c r="Q2" s="36"/>
    </row>
    <row r="3" spans="2:19">
      <c r="C3" s="34"/>
      <c r="E3" s="1" t="s">
        <v>41</v>
      </c>
      <c r="F3" s="1"/>
      <c r="G3" s="1"/>
      <c r="H3" s="1"/>
      <c r="I3" s="1"/>
      <c r="J3" s="12">
        <v>10000000</v>
      </c>
    </row>
    <row r="4" spans="2:19">
      <c r="E4" s="1" t="s">
        <v>39</v>
      </c>
      <c r="F4" s="1"/>
      <c r="G4" s="1"/>
      <c r="H4" s="1"/>
      <c r="I4" s="1"/>
      <c r="J4" s="12">
        <f>0.1*100000000</f>
        <v>10000000</v>
      </c>
      <c r="L4" s="34"/>
      <c r="M4" s="34"/>
      <c r="N4" s="34"/>
      <c r="O4" s="34"/>
      <c r="P4" s="34"/>
    </row>
    <row r="5" spans="2:19">
      <c r="E5" s="1"/>
      <c r="F5" s="1"/>
      <c r="G5" s="1"/>
      <c r="H5" s="1"/>
      <c r="I5" s="1"/>
      <c r="J5" s="13"/>
    </row>
    <row r="6" spans="2:19">
      <c r="J6" s="18"/>
    </row>
    <row r="7" spans="2:19" ht="15" customHeight="1">
      <c r="B7" s="42" t="s">
        <v>76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</row>
    <row r="8" spans="2:19" ht="18.75" customHeight="1"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</row>
    <row r="9" spans="2:19" ht="15.5">
      <c r="B9" s="60" t="s">
        <v>2</v>
      </c>
      <c r="C9" s="61" t="s">
        <v>0</v>
      </c>
      <c r="D9" s="62" t="s">
        <v>8</v>
      </c>
      <c r="E9" s="61" t="s">
        <v>56</v>
      </c>
      <c r="F9" s="61" t="s">
        <v>57</v>
      </c>
      <c r="G9" s="61" t="s">
        <v>60</v>
      </c>
      <c r="H9" s="61" t="s">
        <v>75</v>
      </c>
      <c r="I9" s="61" t="s">
        <v>79</v>
      </c>
      <c r="J9" s="61" t="s">
        <v>10</v>
      </c>
      <c r="K9" s="61" t="s">
        <v>9</v>
      </c>
      <c r="L9" s="61" t="s">
        <v>1</v>
      </c>
      <c r="M9" s="61" t="s">
        <v>61</v>
      </c>
      <c r="N9" s="61" t="s">
        <v>64</v>
      </c>
      <c r="O9" s="61" t="s">
        <v>71</v>
      </c>
      <c r="P9" s="61" t="s">
        <v>80</v>
      </c>
      <c r="Q9" s="61" t="s">
        <v>11</v>
      </c>
      <c r="R9" s="63" t="s">
        <v>74</v>
      </c>
    </row>
    <row r="10" spans="2:19" ht="15.5">
      <c r="B10" s="49">
        <v>9</v>
      </c>
      <c r="C10" s="16" t="s">
        <v>3</v>
      </c>
      <c r="D10" s="41">
        <v>0.03</v>
      </c>
      <c r="E10" s="9">
        <v>89.55</v>
      </c>
      <c r="F10" s="9">
        <v>89.73</v>
      </c>
      <c r="G10" s="86">
        <v>85.56</v>
      </c>
      <c r="H10" s="86">
        <v>88.52</v>
      </c>
      <c r="I10" s="86">
        <v>89.2</v>
      </c>
      <c r="J10" s="3">
        <f>ROUNDDOWN(D10*$J$2/Tableau156[[#This Row],[COURS 27/01]],0)</f>
        <v>26800</v>
      </c>
      <c r="K10" s="2">
        <f>J10*Tableau156[[#This Row],[COURS 07/03]]</f>
        <v>2390560</v>
      </c>
      <c r="L10" s="19">
        <v>0.41599999999999998</v>
      </c>
      <c r="M10" s="19"/>
      <c r="N10" s="19"/>
      <c r="O10" s="19"/>
      <c r="P10" s="19"/>
      <c r="Q10" s="4">
        <f t="shared" ref="Q10:Q38" si="0">L10*D10</f>
        <v>1.248E-2</v>
      </c>
      <c r="R10" s="112">
        <f>(Tableau156[[#This Row],[COURS 07/03]]-Tableau156[[#This Row],[COURS 13/02]])/Tableau156[[#This Row],[COURS 13/02]]</f>
        <v>7.6818798011749527E-3</v>
      </c>
    </row>
    <row r="11" spans="2:19" ht="15.5">
      <c r="B11" s="49">
        <v>16</v>
      </c>
      <c r="C11" s="16" t="s">
        <v>23</v>
      </c>
      <c r="D11" s="41">
        <v>0.03</v>
      </c>
      <c r="E11" s="8">
        <v>184.2</v>
      </c>
      <c r="F11" s="8">
        <v>186.3</v>
      </c>
      <c r="G11" s="69">
        <v>192.2</v>
      </c>
      <c r="H11" s="69">
        <v>187.35</v>
      </c>
      <c r="I11" s="69">
        <v>200.3</v>
      </c>
      <c r="J11" s="3">
        <f>ROUNDDOWN(D11*$J$2/Tableau156[[#This Row],[COURS 27/01]],0)</f>
        <v>13029</v>
      </c>
      <c r="K11" s="2">
        <f>J11*Tableau156[[#This Row],[COURS 07/03]]</f>
        <v>2609708.7000000002</v>
      </c>
      <c r="L11" s="19">
        <v>0.43</v>
      </c>
      <c r="M11" s="19"/>
      <c r="N11" s="19"/>
      <c r="O11" s="19"/>
      <c r="P11" s="19"/>
      <c r="Q11" s="4">
        <f t="shared" si="0"/>
        <v>1.29E-2</v>
      </c>
      <c r="R11" s="112">
        <f>(Tableau156[[#This Row],[COURS 07/03]]-Tableau156[[#This Row],[COURS 13/02]])/Tableau156[[#This Row],[COURS 13/02]]</f>
        <v>6.9121964238057207E-2</v>
      </c>
    </row>
    <row r="12" spans="2:19" ht="15.5">
      <c r="B12" s="49">
        <v>1</v>
      </c>
      <c r="C12" s="115" t="s">
        <v>6</v>
      </c>
      <c r="D12" s="41">
        <v>2.8000000000000001E-2</v>
      </c>
      <c r="E12" s="5">
        <v>49.53</v>
      </c>
      <c r="F12" s="5">
        <v>50.25</v>
      </c>
      <c r="G12" s="114">
        <v>50.42</v>
      </c>
      <c r="H12" s="114">
        <v>50.34</v>
      </c>
      <c r="I12" s="114">
        <v>53.39</v>
      </c>
      <c r="J12" s="3">
        <f>ROUNDDOWN(D12*$J$2/Tableau156[[#This Row],[COURS 27/01]],0)</f>
        <v>45225</v>
      </c>
      <c r="K12" s="2">
        <f>J12*Tableau156[[#This Row],[COURS 07/03]]</f>
        <v>2414562.75</v>
      </c>
      <c r="L12" s="19">
        <v>0.49</v>
      </c>
      <c r="M12" s="19"/>
      <c r="N12" s="19"/>
      <c r="O12" s="19"/>
      <c r="P12" s="19"/>
      <c r="Q12" s="4">
        <f t="shared" si="0"/>
        <v>1.372E-2</v>
      </c>
      <c r="R12" s="112">
        <f>(Tableau156[[#This Row],[COURS 07/03]]-Tableau156[[#This Row],[COURS 13/02]])/Tableau156[[#This Row],[COURS 13/02]]</f>
        <v>6.0588001589193426E-2</v>
      </c>
    </row>
    <row r="13" spans="2:19" ht="15.5">
      <c r="B13" s="49">
        <v>19</v>
      </c>
      <c r="C13" s="95" t="s">
        <v>26</v>
      </c>
      <c r="D13" s="41">
        <v>0.02</v>
      </c>
      <c r="E13" s="7">
        <v>17.510000000000002</v>
      </c>
      <c r="F13" s="7">
        <v>17.52</v>
      </c>
      <c r="G13" s="104">
        <v>17.100000000000001</v>
      </c>
      <c r="H13" s="104">
        <v>16.375</v>
      </c>
      <c r="I13" s="104">
        <v>17.940000000000001</v>
      </c>
      <c r="J13" s="3">
        <f>ROUNDDOWN(D13*$J$2/Tableau156[[#This Row],[COURS 27/01]],0)</f>
        <v>91376</v>
      </c>
      <c r="K13" s="2">
        <f>J13*Tableau156[[#This Row],[COURS 07/03]]</f>
        <v>1639285.4400000002</v>
      </c>
      <c r="L13" s="19">
        <v>0.54900000000000004</v>
      </c>
      <c r="M13" s="19"/>
      <c r="N13" s="19"/>
      <c r="O13" s="19"/>
      <c r="P13" s="19"/>
      <c r="Q13" s="4">
        <f t="shared" si="0"/>
        <v>1.0980000000000002E-2</v>
      </c>
      <c r="R13" s="112">
        <f>(Tableau156[[#This Row],[COURS 07/03]]-Tableau156[[#This Row],[COURS 13/02]])/Tableau156[[#This Row],[COURS 13/02]]</f>
        <v>9.5572519083969548E-2</v>
      </c>
    </row>
    <row r="14" spans="2:19" ht="15.5">
      <c r="B14" s="49">
        <v>4</v>
      </c>
      <c r="C14" s="15" t="s">
        <v>5</v>
      </c>
      <c r="D14" s="41">
        <v>0.05</v>
      </c>
      <c r="E14" s="7">
        <v>378.45</v>
      </c>
      <c r="F14" s="7">
        <v>378.55</v>
      </c>
      <c r="G14" s="116">
        <v>380.65</v>
      </c>
      <c r="H14" s="117">
        <v>380</v>
      </c>
      <c r="I14" s="117">
        <v>376.15</v>
      </c>
      <c r="J14" s="3">
        <f>ROUNDDOWN(D14*$J$2/Tableau156[[#This Row],[COURS 27/01]],0)</f>
        <v>10569</v>
      </c>
      <c r="K14" s="2">
        <f>J14*Tableau156[[#This Row],[COURS 07/03]]</f>
        <v>3975529.3499999996</v>
      </c>
      <c r="L14" s="19">
        <v>0.60399999999999998</v>
      </c>
      <c r="M14" s="19"/>
      <c r="N14" s="19"/>
      <c r="O14" s="19"/>
      <c r="P14" s="19"/>
      <c r="Q14" s="4">
        <f t="shared" si="0"/>
        <v>3.0200000000000001E-2</v>
      </c>
      <c r="R14" s="112">
        <f>(Tableau156[[#This Row],[COURS 07/03]]-Tableau156[[#This Row],[COURS 13/02]])/Tableau156[[#This Row],[COURS 13/02]]</f>
        <v>-1.0131578947368481E-2</v>
      </c>
    </row>
    <row r="15" spans="2:19" ht="15.5">
      <c r="B15" s="49">
        <v>22</v>
      </c>
      <c r="C15" s="16" t="s">
        <v>29</v>
      </c>
      <c r="D15" s="41">
        <v>0.05</v>
      </c>
      <c r="E15" s="8">
        <v>121.3</v>
      </c>
      <c r="F15" s="8">
        <v>120.45</v>
      </c>
      <c r="G15" s="85">
        <v>118.75</v>
      </c>
      <c r="H15" s="92">
        <v>122.45</v>
      </c>
      <c r="I15" s="92">
        <v>132.19999999999999</v>
      </c>
      <c r="J15" s="3">
        <f>ROUNDDOWN(D15*$J$2/Tableau156[[#This Row],[COURS 27/01]],0)</f>
        <v>32976</v>
      </c>
      <c r="K15" s="2">
        <f>J15*Tableau156[[#This Row],[COURS 07/03]]</f>
        <v>4359427.1999999993</v>
      </c>
      <c r="L15" s="19">
        <v>0.63500000000000001</v>
      </c>
      <c r="M15" s="19"/>
      <c r="N15" s="19"/>
      <c r="O15" s="19"/>
      <c r="P15" s="19"/>
      <c r="Q15" s="4">
        <f t="shared" si="0"/>
        <v>3.175E-2</v>
      </c>
      <c r="R15" s="112">
        <f>(Tableau156[[#This Row],[COURS 07/03]]-Tableau156[[#This Row],[COURS 13/02]])/Tableau156[[#This Row],[COURS 13/02]]</f>
        <v>7.9624336463862688E-2</v>
      </c>
    </row>
    <row r="16" spans="2:19" ht="15.5">
      <c r="B16" s="49">
        <v>6</v>
      </c>
      <c r="C16" s="15" t="s">
        <v>15</v>
      </c>
      <c r="D16" s="75">
        <v>3.5000000000000003E-2</v>
      </c>
      <c r="E16" s="9">
        <v>148.26</v>
      </c>
      <c r="F16" s="9">
        <v>147.80000000000001</v>
      </c>
      <c r="G16" s="71">
        <v>144</v>
      </c>
      <c r="H16" s="71">
        <v>142.9</v>
      </c>
      <c r="I16" s="71">
        <v>148.36000000000001</v>
      </c>
      <c r="J16" s="3">
        <f>ROUNDDOWN(D16*$J$2/Tableau156[[#This Row],[COURS 27/01]],0)</f>
        <v>18885</v>
      </c>
      <c r="K16" s="2">
        <f>J16*Tableau156[[#This Row],[COURS 07/03]]</f>
        <v>2801778.6</v>
      </c>
      <c r="L16" s="19">
        <v>0.63600000000000001</v>
      </c>
      <c r="M16" s="19"/>
      <c r="N16" s="19"/>
      <c r="O16" s="19"/>
      <c r="P16" s="19"/>
      <c r="Q16" s="4">
        <f t="shared" si="0"/>
        <v>2.2260000000000002E-2</v>
      </c>
      <c r="R16" s="112">
        <f>(Tableau156[[#This Row],[COURS 07/03]]-Tableau156[[#This Row],[COURS 13/02]])/Tableau156[[#This Row],[COURS 13/02]]</f>
        <v>3.8208537438768425E-2</v>
      </c>
    </row>
    <row r="17" spans="2:20" ht="15.5">
      <c r="B17" s="49">
        <v>10</v>
      </c>
      <c r="C17" s="15" t="s">
        <v>18</v>
      </c>
      <c r="D17" s="41">
        <v>0.05</v>
      </c>
      <c r="E17" s="11">
        <v>1697.5</v>
      </c>
      <c r="F17" s="11" t="s">
        <v>58</v>
      </c>
      <c r="G17" s="72">
        <v>1741.5</v>
      </c>
      <c r="H17" s="72">
        <v>1680</v>
      </c>
      <c r="I17" s="72">
        <v>1741</v>
      </c>
      <c r="J17" s="3">
        <f>ROUNDDOWN(D17*$J$2/Tableau156[[#This Row],[COURS 27/01]],0)</f>
        <v>2356</v>
      </c>
      <c r="K17" s="2">
        <f>J17*Tableau156[[#This Row],[COURS 07/03]]</f>
        <v>4101796</v>
      </c>
      <c r="L17" s="19">
        <v>0.65700000000000003</v>
      </c>
      <c r="M17" s="19"/>
      <c r="N17" s="19"/>
      <c r="O17" s="19"/>
      <c r="P17" s="19"/>
      <c r="Q17" s="4">
        <f t="shared" si="0"/>
        <v>3.2850000000000004E-2</v>
      </c>
      <c r="R17" s="112">
        <f>(Tableau156[[#This Row],[COURS 07/03]]-Tableau156[[#This Row],[COURS 13/02]])/Tableau156[[#This Row],[COURS 13/02]]</f>
        <v>3.6309523809523812E-2</v>
      </c>
    </row>
    <row r="18" spans="2:20" ht="15.5">
      <c r="B18" s="49">
        <v>17</v>
      </c>
      <c r="C18" s="16" t="s">
        <v>24</v>
      </c>
      <c r="D18" s="41">
        <v>0.04</v>
      </c>
      <c r="E18" s="8">
        <v>33.69</v>
      </c>
      <c r="F18" s="8">
        <v>34.06</v>
      </c>
      <c r="G18" s="86">
        <v>38.049999999999997</v>
      </c>
      <c r="H18" s="86">
        <v>37.01</v>
      </c>
      <c r="I18" s="86">
        <v>37</v>
      </c>
      <c r="J18" s="3">
        <f>ROUNDDOWN(D18*$J$2/Tableau156[[#This Row],[COURS 27/01]],0)</f>
        <v>94983</v>
      </c>
      <c r="K18" s="2">
        <f>J18*Tableau156[[#This Row],[COURS 07/03]]</f>
        <v>3514371</v>
      </c>
      <c r="L18" s="19">
        <v>0.68899999999999995</v>
      </c>
      <c r="M18" s="19"/>
      <c r="N18" s="19"/>
      <c r="O18" s="19"/>
      <c r="P18" s="19"/>
      <c r="Q18" s="4">
        <f t="shared" si="0"/>
        <v>2.7559999999999998E-2</v>
      </c>
      <c r="R18" s="112">
        <f>(Tableau156[[#This Row],[COURS 07/03]]-Tableau156[[#This Row],[COURS 13/02]])/Tableau156[[#This Row],[COURS 13/02]]</f>
        <v>-2.7019724398805758E-4</v>
      </c>
    </row>
    <row r="19" spans="2:20" ht="15.5">
      <c r="B19" s="49">
        <v>23</v>
      </c>
      <c r="C19" s="95" t="s">
        <v>30</v>
      </c>
      <c r="D19" s="41">
        <v>1.35E-2</v>
      </c>
      <c r="E19" s="8">
        <v>281</v>
      </c>
      <c r="F19" s="8">
        <v>277.5</v>
      </c>
      <c r="G19" s="88">
        <v>292.5</v>
      </c>
      <c r="H19" s="88">
        <v>289</v>
      </c>
      <c r="I19" s="88">
        <v>283</v>
      </c>
      <c r="J19" s="3">
        <f>ROUNDDOWN(D19*$J$2/Tableau156[[#This Row],[COURS 27/01]],0)</f>
        <v>3843</v>
      </c>
      <c r="K19" s="2">
        <f>J19*Tableau156[[#This Row],[COURS 07/03]]</f>
        <v>1087569</v>
      </c>
      <c r="L19" s="19">
        <v>0.80300000000000005</v>
      </c>
      <c r="M19" s="19"/>
      <c r="N19" s="19"/>
      <c r="O19" s="19"/>
      <c r="P19" s="19"/>
      <c r="Q19" s="4">
        <f t="shared" si="0"/>
        <v>1.0840500000000001E-2</v>
      </c>
      <c r="R19" s="112">
        <f>(Tableau156[[#This Row],[COURS 07/03]]-Tableau156[[#This Row],[COURS 13/02]])/Tableau156[[#This Row],[COURS 13/02]]</f>
        <v>-2.0761245674740483E-2</v>
      </c>
    </row>
    <row r="20" spans="2:20" ht="15.5">
      <c r="B20" s="49">
        <v>15</v>
      </c>
      <c r="C20" s="16" t="s">
        <v>22</v>
      </c>
      <c r="D20" s="41">
        <v>4.4499999999999998E-2</v>
      </c>
      <c r="E20" s="8">
        <v>34.69</v>
      </c>
      <c r="F20" s="8">
        <v>34.22</v>
      </c>
      <c r="G20" s="67">
        <v>36.76</v>
      </c>
      <c r="H20" s="93">
        <v>35.9</v>
      </c>
      <c r="I20" s="93">
        <v>29.75</v>
      </c>
      <c r="J20" s="3">
        <f>ROUNDDOWN(D20*$J$2/Tableau156[[#This Row],[COURS 27/01]],0)</f>
        <v>102623</v>
      </c>
      <c r="K20" s="2">
        <f>J20*Tableau156[[#This Row],[COURS 07/03]]</f>
        <v>3053034.25</v>
      </c>
      <c r="L20" s="19">
        <v>0.84699999999999998</v>
      </c>
      <c r="M20" s="19"/>
      <c r="N20" s="19"/>
      <c r="O20" s="19"/>
      <c r="P20" s="19"/>
      <c r="Q20" s="4">
        <f t="shared" si="0"/>
        <v>3.7691499999999996E-2</v>
      </c>
      <c r="R20" s="112">
        <f>(Tableau156[[#This Row],[COURS 07/03]]-Tableau156[[#This Row],[COURS 13/02]])/Tableau156[[#This Row],[COURS 13/02]]</f>
        <v>-0.17130919220055707</v>
      </c>
    </row>
    <row r="21" spans="2:20" ht="15.5">
      <c r="B21" s="49">
        <v>24</v>
      </c>
      <c r="C21" s="95" t="s">
        <v>31</v>
      </c>
      <c r="D21" s="41">
        <v>1.4500000000000001E-2</v>
      </c>
      <c r="E21" s="8">
        <v>166.15</v>
      </c>
      <c r="F21" s="8">
        <v>167.25</v>
      </c>
      <c r="G21" s="82">
        <v>174.5</v>
      </c>
      <c r="H21" s="82">
        <v>168.6</v>
      </c>
      <c r="I21" s="82">
        <v>165.35</v>
      </c>
      <c r="J21" s="3">
        <f>ROUNDDOWN(D21*$J$2/Tableau156[[#This Row],[COURS 27/01]],0)</f>
        <v>6981</v>
      </c>
      <c r="K21" s="2">
        <f>J21*Tableau156[[#This Row],[COURS 07/03]]</f>
        <v>1154308.3499999999</v>
      </c>
      <c r="L21" s="19">
        <v>0.91200000000000003</v>
      </c>
      <c r="M21" s="19"/>
      <c r="N21" s="19"/>
      <c r="O21" s="19"/>
      <c r="P21" s="19"/>
      <c r="Q21" s="4">
        <f t="shared" si="0"/>
        <v>1.3224000000000001E-2</v>
      </c>
      <c r="R21" s="112">
        <f>(Tableau156[[#This Row],[COURS 07/03]]-Tableau156[[#This Row],[COURS 13/02]])/Tableau156[[#This Row],[COURS 13/02]]</f>
        <v>-1.9276393831553974E-2</v>
      </c>
    </row>
    <row r="22" spans="2:20" ht="15.5">
      <c r="B22" s="49">
        <v>27</v>
      </c>
      <c r="C22" s="16" t="s">
        <v>34</v>
      </c>
      <c r="D22" s="41">
        <v>0.05</v>
      </c>
      <c r="E22" s="7">
        <v>64.459999999999994</v>
      </c>
      <c r="F22" s="7">
        <v>65.040000000000006</v>
      </c>
      <c r="G22" s="104">
        <v>73.459999999999994</v>
      </c>
      <c r="H22" s="104">
        <v>74.180000000000007</v>
      </c>
      <c r="I22" s="104">
        <v>76.94</v>
      </c>
      <c r="J22" s="3">
        <f>ROUNDDOWN(D22*$J$2/Tableau156[[#This Row],[COURS 27/01]],0)</f>
        <v>62053</v>
      </c>
      <c r="K22" s="2">
        <f>J22*Tableau156[[#This Row],[COURS 07/03]]</f>
        <v>4774357.82</v>
      </c>
      <c r="L22" s="19">
        <v>0.91300000000000003</v>
      </c>
      <c r="M22" s="19"/>
      <c r="N22" s="19"/>
      <c r="O22" s="19"/>
      <c r="P22" s="19"/>
      <c r="Q22" s="4">
        <f t="shared" si="0"/>
        <v>4.5650000000000003E-2</v>
      </c>
      <c r="R22" s="112">
        <f>(Tableau156[[#This Row],[COURS 07/03]]-Tableau156[[#This Row],[COURS 13/02]])/Tableau156[[#This Row],[COURS 13/02]]</f>
        <v>3.7206794284173506E-2</v>
      </c>
      <c r="S22">
        <f>100-99.52</f>
        <v>0.48000000000000398</v>
      </c>
    </row>
    <row r="23" spans="2:20" ht="15.5">
      <c r="B23" s="49">
        <v>8</v>
      </c>
      <c r="C23" s="115" t="s">
        <v>17</v>
      </c>
      <c r="D23" s="41">
        <v>0.03</v>
      </c>
      <c r="E23" s="10">
        <v>105.04</v>
      </c>
      <c r="F23" s="10">
        <v>104.14</v>
      </c>
      <c r="G23" s="88">
        <v>104.7</v>
      </c>
      <c r="H23" s="88">
        <v>105.16</v>
      </c>
      <c r="I23" s="88">
        <v>108.9</v>
      </c>
      <c r="J23" s="3">
        <f>ROUNDDOWN(D23*$J$2/Tableau156[[#This Row],[COURS 27/01]],0)</f>
        <v>22848</v>
      </c>
      <c r="K23" s="2">
        <f>J23*Tableau156[[#This Row],[COURS 07/03]]</f>
        <v>2488147.2000000002</v>
      </c>
      <c r="L23" s="19">
        <v>0.95299999999999996</v>
      </c>
      <c r="M23" s="19"/>
      <c r="N23" s="19"/>
      <c r="O23" s="19"/>
      <c r="P23" s="19"/>
      <c r="Q23" s="4">
        <f t="shared" si="0"/>
        <v>2.8589999999999997E-2</v>
      </c>
      <c r="R23" s="112">
        <f>(Tableau156[[#This Row],[COURS 07/03]]-Tableau156[[#This Row],[COURS 13/02]])/Tableau156[[#This Row],[COURS 13/02]]</f>
        <v>3.5564853556485441E-2</v>
      </c>
    </row>
    <row r="24" spans="2:20" ht="15.5">
      <c r="B24" s="49">
        <v>11</v>
      </c>
      <c r="C24" s="95" t="s">
        <v>7</v>
      </c>
      <c r="D24" s="41">
        <v>1.4999999999999999E-2</v>
      </c>
      <c r="E24" s="8">
        <v>30.25</v>
      </c>
      <c r="F24" s="8">
        <v>30.35</v>
      </c>
      <c r="G24" s="71">
        <v>30.36</v>
      </c>
      <c r="H24" s="71">
        <v>30.126000000000001</v>
      </c>
      <c r="I24" s="71">
        <v>32.69</v>
      </c>
      <c r="J24" s="3">
        <f>ROUNDDOWN(D24*$J$2/Tableau156[[#This Row],[COURS 27/01]],0)</f>
        <v>39669</v>
      </c>
      <c r="K24" s="2">
        <f>J24*Tableau156[[#This Row],[COURS 07/03]]</f>
        <v>1296779.6099999999</v>
      </c>
      <c r="L24" s="19">
        <v>0.95499999999999996</v>
      </c>
      <c r="M24" s="19"/>
      <c r="N24" s="19"/>
      <c r="O24" s="19"/>
      <c r="P24" s="19"/>
      <c r="Q24" s="4">
        <f t="shared" si="0"/>
        <v>1.4324999999999999E-2</v>
      </c>
      <c r="R24" s="112">
        <f>(Tableau156[[#This Row],[COURS 07/03]]-Tableau156[[#This Row],[COURS 13/02]])/Tableau156[[#This Row],[COURS 13/02]]</f>
        <v>8.5109207993095543E-2</v>
      </c>
    </row>
    <row r="25" spans="2:20" ht="15.5">
      <c r="B25" s="49">
        <v>3</v>
      </c>
      <c r="C25" s="15" t="s">
        <v>13</v>
      </c>
      <c r="D25" s="41">
        <v>0.05</v>
      </c>
      <c r="E25" s="7">
        <v>801</v>
      </c>
      <c r="F25" s="7">
        <v>797.1</v>
      </c>
      <c r="G25" s="86">
        <v>812.6</v>
      </c>
      <c r="H25" s="86">
        <v>800.5</v>
      </c>
      <c r="I25" s="86">
        <v>816.5</v>
      </c>
      <c r="J25" s="3">
        <f>ROUNDDOWN(D25*$J$2/Tableau156[[#This Row],[COURS 27/01]],0)</f>
        <v>4993</v>
      </c>
      <c r="K25" s="2">
        <f>J25*Tableau156[[#This Row],[COURS 07/03]]</f>
        <v>4076784.5</v>
      </c>
      <c r="L25" s="19">
        <v>0.96399999999999997</v>
      </c>
      <c r="M25" s="19"/>
      <c r="N25" s="19"/>
      <c r="O25" s="19"/>
      <c r="P25" s="19"/>
      <c r="Q25" s="4">
        <f t="shared" si="0"/>
        <v>4.82E-2</v>
      </c>
      <c r="R25" s="112">
        <f>(Tableau156[[#This Row],[COURS 07/03]]-Tableau156[[#This Row],[COURS 13/02]])/Tableau156[[#This Row],[COURS 13/02]]</f>
        <v>1.9987507807620236E-2</v>
      </c>
      <c r="S25">
        <f>20470*G35</f>
        <v>805085.1</v>
      </c>
    </row>
    <row r="26" spans="2:20" ht="15.5">
      <c r="B26" s="49">
        <v>5</v>
      </c>
      <c r="C26" s="15" t="s">
        <v>14</v>
      </c>
      <c r="D26" s="41">
        <v>3.5000000000000003E-2</v>
      </c>
      <c r="E26" s="8">
        <v>58.62</v>
      </c>
      <c r="F26" s="8">
        <v>57.89</v>
      </c>
      <c r="G26" s="67">
        <v>56.47</v>
      </c>
      <c r="H26" s="93">
        <v>59.34</v>
      </c>
      <c r="I26" s="93">
        <v>59.55</v>
      </c>
      <c r="J26" s="3">
        <f>ROUNDDOWN(D26*$J$2/Tableau156[[#This Row],[COURS 27/01]],0)</f>
        <v>47765</v>
      </c>
      <c r="K26" s="2">
        <f>J26*Tableau156[[#This Row],[COURS 07/03]]</f>
        <v>2844405.75</v>
      </c>
      <c r="L26" s="19">
        <v>0.99299999999999999</v>
      </c>
      <c r="M26" s="19"/>
      <c r="N26" s="19"/>
      <c r="O26" s="19"/>
      <c r="P26" s="19"/>
      <c r="Q26" s="4">
        <f t="shared" si="0"/>
        <v>3.4755000000000001E-2</v>
      </c>
      <c r="R26" s="112">
        <f>(Tableau156[[#This Row],[COURS 07/03]]-Tableau156[[#This Row],[COURS 13/02]])/Tableau156[[#This Row],[COURS 13/02]]</f>
        <v>3.5389282103133425E-3</v>
      </c>
    </row>
    <row r="27" spans="2:20" ht="15.5">
      <c r="B27" s="49">
        <v>7</v>
      </c>
      <c r="C27" s="15" t="s">
        <v>16</v>
      </c>
      <c r="D27" s="41">
        <v>0.05</v>
      </c>
      <c r="E27" s="9">
        <v>147.88</v>
      </c>
      <c r="F27" s="9">
        <v>147.13999999999999</v>
      </c>
      <c r="G27" s="71">
        <v>152.66</v>
      </c>
      <c r="H27" s="71">
        <v>150</v>
      </c>
      <c r="I27" s="71">
        <v>155.5</v>
      </c>
      <c r="J27" s="3">
        <f>ROUNDDOWN(D27*$J$2/Tableau156[[#This Row],[COURS 27/01]],0)</f>
        <v>27048</v>
      </c>
      <c r="K27" s="2">
        <f>J27*Tableau156[[#This Row],[COURS 07/03]]</f>
        <v>4205964</v>
      </c>
      <c r="L27" s="19">
        <v>1</v>
      </c>
      <c r="M27" s="19"/>
      <c r="N27" s="19"/>
      <c r="O27" s="19"/>
      <c r="P27" s="19"/>
      <c r="Q27" s="4">
        <f t="shared" si="0"/>
        <v>0.05</v>
      </c>
      <c r="R27" s="112">
        <f>(Tableau156[[#This Row],[COURS 07/03]]-Tableau156[[#This Row],[COURS 13/02]])/Tableau156[[#This Row],[COURS 13/02]]</f>
        <v>3.6666666666666667E-2</v>
      </c>
    </row>
    <row r="28" spans="2:20" ht="15.5">
      <c r="B28" s="49">
        <v>12</v>
      </c>
      <c r="C28" s="17" t="s">
        <v>19</v>
      </c>
      <c r="D28" s="41">
        <v>0.05</v>
      </c>
      <c r="E28" s="8">
        <v>557.70000000000005</v>
      </c>
      <c r="F28" s="8">
        <v>565.70000000000005</v>
      </c>
      <c r="G28" s="82">
        <v>579.5</v>
      </c>
      <c r="H28" s="82">
        <v>559.5</v>
      </c>
      <c r="I28" s="82">
        <v>574.1</v>
      </c>
      <c r="J28" s="3">
        <f>ROUNDDOWN(D28*$J$2/Tableau156[[#This Row],[COURS 27/01]],0)</f>
        <v>7172</v>
      </c>
      <c r="K28" s="2">
        <f>J28*Tableau156[[#This Row],[COURS 07/03]]</f>
        <v>4117445.2</v>
      </c>
      <c r="L28" s="19">
        <v>1.07</v>
      </c>
      <c r="M28" s="19"/>
      <c r="N28" s="19"/>
      <c r="O28" s="19"/>
      <c r="P28" s="19"/>
      <c r="Q28" s="4">
        <f t="shared" si="0"/>
        <v>5.3500000000000006E-2</v>
      </c>
      <c r="R28" s="112">
        <f>(Tableau156[[#This Row],[COURS 07/03]]-Tableau156[[#This Row],[COURS 13/02]])/Tableau156[[#This Row],[COURS 13/02]]</f>
        <v>2.609472743521005E-2</v>
      </c>
    </row>
    <row r="29" spans="2:20" ht="15.5">
      <c r="B29" s="49">
        <v>28</v>
      </c>
      <c r="C29" s="16" t="s">
        <v>4</v>
      </c>
      <c r="D29" s="41">
        <v>0.04</v>
      </c>
      <c r="E29" s="8">
        <v>173</v>
      </c>
      <c r="F29" s="8">
        <v>172.4</v>
      </c>
      <c r="G29" s="85">
        <v>185.15</v>
      </c>
      <c r="H29" s="92">
        <v>182.9</v>
      </c>
      <c r="I29" s="92">
        <v>180.1</v>
      </c>
      <c r="J29" s="3">
        <f>ROUNDDOWN(D29*$J$2/Tableau156[[#This Row],[COURS 27/01]],0)</f>
        <v>18497</v>
      </c>
      <c r="K29" s="2">
        <f>J29*Tableau156[[#This Row],[COURS 07/03]]</f>
        <v>3331309.6999999997</v>
      </c>
      <c r="L29" s="19">
        <v>1.1499999999999999</v>
      </c>
      <c r="M29" s="19"/>
      <c r="N29" s="19"/>
      <c r="O29" s="19"/>
      <c r="P29" s="19"/>
      <c r="Q29" s="4">
        <f t="shared" si="0"/>
        <v>4.5999999999999999E-2</v>
      </c>
      <c r="R29" s="112">
        <f>(Tableau156[[#This Row],[COURS 07/03]]-Tableau156[[#This Row],[COURS 13/02]])/Tableau156[[#This Row],[COURS 13/02]]</f>
        <v>-1.5308911973756213E-2</v>
      </c>
    </row>
    <row r="30" spans="2:20" ht="15.5">
      <c r="B30" s="49">
        <v>14</v>
      </c>
      <c r="C30" s="16" t="s">
        <v>21</v>
      </c>
      <c r="D30" s="41">
        <v>4.4999999999999998E-2</v>
      </c>
      <c r="E30" s="8">
        <v>43.69</v>
      </c>
      <c r="F30" s="8">
        <v>43.42</v>
      </c>
      <c r="G30" s="71">
        <v>45.155000000000001</v>
      </c>
      <c r="H30" s="71">
        <v>45.244999999999997</v>
      </c>
      <c r="I30" s="71">
        <v>45.41</v>
      </c>
      <c r="J30" s="3">
        <f>ROUNDDOWN(D30*$J$2/Tableau156[[#This Row],[COURS 27/01]],0)</f>
        <v>82398</v>
      </c>
      <c r="K30" s="2">
        <f>J30*Tableau156[[#This Row],[COURS 07/03]]</f>
        <v>3741693.1799999997</v>
      </c>
      <c r="L30" s="19">
        <v>1.29</v>
      </c>
      <c r="M30" s="19"/>
      <c r="N30" s="19"/>
      <c r="O30" s="19"/>
      <c r="P30" s="19"/>
      <c r="Q30" s="4">
        <f t="shared" si="0"/>
        <v>5.8049999999999997E-2</v>
      </c>
      <c r="R30" s="112">
        <f>(Tableau156[[#This Row],[COURS 07/03]]-Tableau156[[#This Row],[COURS 13/02]])/Tableau156[[#This Row],[COURS 13/02]]</f>
        <v>3.6468118024090873E-3</v>
      </c>
      <c r="S30">
        <f>1.47+1.5</f>
        <v>2.9699999999999998</v>
      </c>
      <c r="T30">
        <f>1.47+1.5+1</f>
        <v>3.9699999999999998</v>
      </c>
    </row>
    <row r="31" spans="2:20" ht="15.5">
      <c r="B31" s="49">
        <v>13</v>
      </c>
      <c r="C31" s="115" t="s">
        <v>20</v>
      </c>
      <c r="D31" s="41">
        <v>3.4500000000000003E-2</v>
      </c>
      <c r="E31" s="8">
        <v>132.19999999999999</v>
      </c>
      <c r="F31" s="8">
        <v>131.36000000000001</v>
      </c>
      <c r="G31" s="71">
        <v>131.24</v>
      </c>
      <c r="H31" s="71">
        <v>130.54</v>
      </c>
      <c r="I31" s="71">
        <v>136.16</v>
      </c>
      <c r="J31" s="3">
        <f>ROUNDDOWN(D31*$J$2/Tableau156[[#This Row],[COURS 27/01]],0)</f>
        <v>20877</v>
      </c>
      <c r="K31" s="2">
        <f>J31*Tableau156[[#This Row],[COURS 07/03]]</f>
        <v>2842612.32</v>
      </c>
      <c r="L31" s="19">
        <v>1.33</v>
      </c>
      <c r="M31" s="19"/>
      <c r="N31" s="19"/>
      <c r="O31" s="19"/>
      <c r="P31" s="19"/>
      <c r="Q31" s="4">
        <f t="shared" si="0"/>
        <v>4.5885000000000009E-2</v>
      </c>
      <c r="R31" s="112">
        <f>(Tableau156[[#This Row],[COURS 07/03]]-Tableau156[[#This Row],[COURS 13/02]])/Tableau156[[#This Row],[COURS 13/02]]</f>
        <v>4.3051938103263403E-2</v>
      </c>
    </row>
    <row r="32" spans="2:20" ht="15.5">
      <c r="B32" s="49">
        <v>20</v>
      </c>
      <c r="C32" s="95" t="s">
        <v>27</v>
      </c>
      <c r="D32" s="41">
        <v>0.02</v>
      </c>
      <c r="E32" s="8">
        <v>54.19</v>
      </c>
      <c r="F32" s="8">
        <v>53.27</v>
      </c>
      <c r="G32" s="86">
        <v>54.68</v>
      </c>
      <c r="H32" s="86">
        <v>52.67</v>
      </c>
      <c r="I32" s="86">
        <v>57.46</v>
      </c>
      <c r="J32" s="3">
        <f>ROUNDDOWN(D32*$J$2/Tableau156[[#This Row],[COURS 27/01]],0)</f>
        <v>29525</v>
      </c>
      <c r="K32" s="2">
        <f>J32*Tableau156[[#This Row],[COURS 07/03]]</f>
        <v>1696506.5</v>
      </c>
      <c r="L32" s="19">
        <v>1.36</v>
      </c>
      <c r="M32" s="19"/>
      <c r="N32" s="19"/>
      <c r="O32" s="19"/>
      <c r="P32" s="19"/>
      <c r="Q32" s="4">
        <f t="shared" si="0"/>
        <v>2.7200000000000002E-2</v>
      </c>
      <c r="R32" s="112">
        <f>(Tableau156[[#This Row],[COURS 07/03]]-Tableau156[[#This Row],[COURS 13/02]])/Tableau156[[#This Row],[COURS 13/02]]</f>
        <v>9.0943611163850371E-2</v>
      </c>
    </row>
    <row r="33" spans="2:20" ht="15.5">
      <c r="B33" s="49">
        <v>25</v>
      </c>
      <c r="C33" s="95" t="s">
        <v>32</v>
      </c>
      <c r="D33" s="41">
        <v>0.02</v>
      </c>
      <c r="E33" s="8">
        <v>49.85</v>
      </c>
      <c r="F33" s="8">
        <v>48</v>
      </c>
      <c r="G33" s="96">
        <v>49.95</v>
      </c>
      <c r="H33" s="100">
        <v>51.3</v>
      </c>
      <c r="I33" s="100">
        <v>48.7</v>
      </c>
      <c r="J33" s="3">
        <f>ROUNDDOWN(D33*$J$2/Tableau156[[#This Row],[COURS 27/01]],0)</f>
        <v>32096</v>
      </c>
      <c r="K33" s="2">
        <f>J33*Tableau156[[#This Row],[COURS 07/03]]</f>
        <v>1563075.2000000002</v>
      </c>
      <c r="L33" s="19">
        <v>1.36</v>
      </c>
      <c r="M33" s="19"/>
      <c r="N33" s="19"/>
      <c r="O33" s="19"/>
      <c r="P33" s="19"/>
      <c r="Q33" s="4">
        <f t="shared" si="0"/>
        <v>2.7200000000000002E-2</v>
      </c>
      <c r="R33" s="112">
        <f>(Tableau156[[#This Row],[COURS 07/03]]-Tableau156[[#This Row],[COURS 13/02]])/Tableau156[[#This Row],[COURS 13/02]]</f>
        <v>-5.0682261208576891E-2</v>
      </c>
      <c r="T33">
        <f>1</f>
        <v>1</v>
      </c>
    </row>
    <row r="34" spans="2:20" ht="15.5">
      <c r="B34" s="49">
        <v>21</v>
      </c>
      <c r="C34" s="95" t="s">
        <v>28</v>
      </c>
      <c r="D34" s="41">
        <v>0.02</v>
      </c>
      <c r="E34" s="8">
        <v>63.15</v>
      </c>
      <c r="F34" s="8">
        <v>62.75</v>
      </c>
      <c r="G34" s="97">
        <v>65.099999999999994</v>
      </c>
      <c r="H34" s="97">
        <v>64.099999999999994</v>
      </c>
      <c r="I34" s="97">
        <v>61.85</v>
      </c>
      <c r="J34" s="3">
        <f>ROUNDDOWN(D34*$J$2/Tableau156[[#This Row],[COURS 27/01]],0)</f>
        <v>25336</v>
      </c>
      <c r="K34" s="2">
        <f>J34*Tableau156[[#This Row],[COURS 07/03]]</f>
        <v>1567031.6</v>
      </c>
      <c r="L34" s="19">
        <v>1.43</v>
      </c>
      <c r="M34" s="19"/>
      <c r="N34" s="19"/>
      <c r="O34" s="19"/>
      <c r="P34" s="19"/>
      <c r="Q34" s="4">
        <f t="shared" si="0"/>
        <v>2.86E-2</v>
      </c>
      <c r="R34" s="112">
        <f>(Tableau156[[#This Row],[COURS 07/03]]-Tableau156[[#This Row],[COURS 13/02]])/Tableau156[[#This Row],[COURS 13/02]]</f>
        <v>-3.510140405616214E-2</v>
      </c>
    </row>
    <row r="35" spans="2:20" ht="15.5">
      <c r="B35" s="49">
        <v>29</v>
      </c>
      <c r="C35" s="95" t="s">
        <v>70</v>
      </c>
      <c r="D35" s="41">
        <f>4%</f>
        <v>0.04</v>
      </c>
      <c r="E35" s="8">
        <v>39.33</v>
      </c>
      <c r="F35" s="8">
        <v>15.88</v>
      </c>
      <c r="G35" s="96">
        <v>39.33</v>
      </c>
      <c r="H35" s="100">
        <v>40.85</v>
      </c>
      <c r="I35" s="100">
        <v>42.27</v>
      </c>
      <c r="J35" s="3">
        <f>ROUNDDOWN(D35*$J$2/Tableau156[[#This Row],[COURS 27/01]],0)</f>
        <v>81362</v>
      </c>
      <c r="K35" s="2">
        <f>J35*Tableau156[[#This Row],[COURS 07/03]]</f>
        <v>3439171.74</v>
      </c>
      <c r="L35" s="19">
        <v>1.67</v>
      </c>
      <c r="M35" s="19"/>
      <c r="N35" s="19"/>
      <c r="O35" s="19"/>
      <c r="P35" s="19"/>
      <c r="Q35" s="4">
        <f t="shared" si="0"/>
        <v>6.6799999999999998E-2</v>
      </c>
      <c r="R35" s="112">
        <f>(Tableau156[[#This Row],[COURS 07/03]]-Tableau156[[#This Row],[COURS 13/02]])/Tableau156[[#This Row],[COURS 13/02]]</f>
        <v>3.4761321909424762E-2</v>
      </c>
    </row>
    <row r="36" spans="2:20" ht="15.5">
      <c r="B36" s="49">
        <v>2</v>
      </c>
      <c r="C36" s="15" t="s">
        <v>12</v>
      </c>
      <c r="D36" s="41">
        <v>0.04</v>
      </c>
      <c r="E36" s="6">
        <v>116.62</v>
      </c>
      <c r="F36" s="6">
        <v>112.56</v>
      </c>
      <c r="G36" s="67">
        <v>114</v>
      </c>
      <c r="H36" s="93">
        <v>114.3</v>
      </c>
      <c r="I36" s="93">
        <v>124.48</v>
      </c>
      <c r="J36" s="3">
        <f>ROUNDDOWN(D36*$J$2/Tableau156[[#This Row],[COURS 27/01]],0)</f>
        <v>27439</v>
      </c>
      <c r="K36" s="2">
        <f>J36*Tableau156[[#This Row],[COURS 07/03]]</f>
        <v>3415606.72</v>
      </c>
      <c r="L36" s="19">
        <v>1.7</v>
      </c>
      <c r="M36" s="19"/>
      <c r="N36" s="19"/>
      <c r="O36" s="19"/>
      <c r="P36" s="19"/>
      <c r="Q36" s="4">
        <f t="shared" si="0"/>
        <v>6.8000000000000005E-2</v>
      </c>
      <c r="R36" s="112">
        <f>(Tableau156[[#This Row],[COURS 07/03]]-Tableau156[[#This Row],[COURS 13/02]])/Tableau156[[#This Row],[COURS 13/02]]</f>
        <v>8.9063867016622986E-2</v>
      </c>
    </row>
    <row r="37" spans="2:20" ht="15.5">
      <c r="B37" s="49">
        <v>26</v>
      </c>
      <c r="C37" s="95" t="s">
        <v>33</v>
      </c>
      <c r="D37" s="41">
        <v>0.01</v>
      </c>
      <c r="E37" s="8">
        <v>6.48</v>
      </c>
      <c r="F37" s="8">
        <v>6.5</v>
      </c>
      <c r="G37" s="98">
        <v>7</v>
      </c>
      <c r="H37" s="101">
        <v>7.13</v>
      </c>
      <c r="I37" s="101">
        <v>7.6</v>
      </c>
      <c r="J37" s="3">
        <f>ROUNDDOWN(D37*$J$2/Tableau156[[#This Row],[COURS 27/01]],0)</f>
        <v>123456</v>
      </c>
      <c r="K37" s="2">
        <f>J37*Tableau156[[#This Row],[COURS 07/03]]</f>
        <v>938265.59999999998</v>
      </c>
      <c r="L37" s="19">
        <v>1.7</v>
      </c>
      <c r="M37" s="19"/>
      <c r="N37" s="19"/>
      <c r="O37" s="19"/>
      <c r="P37" s="19"/>
      <c r="Q37" s="4">
        <f t="shared" si="0"/>
        <v>1.7000000000000001E-2</v>
      </c>
      <c r="R37" s="112">
        <f>(Tableau156[[#This Row],[COURS 07/03]]-Tableau156[[#This Row],[COURS 13/02]])/Tableau156[[#This Row],[COURS 13/02]]</f>
        <v>6.5918653576437558E-2</v>
      </c>
      <c r="T37">
        <f>8093*148.26</f>
        <v>1199868.18</v>
      </c>
    </row>
    <row r="38" spans="2:20" ht="15.5">
      <c r="B38" s="51">
        <v>18</v>
      </c>
      <c r="C38" s="91" t="s">
        <v>25</v>
      </c>
      <c r="D38" s="53">
        <v>4.4999999999999998E-2</v>
      </c>
      <c r="E38" s="54">
        <v>62.03</v>
      </c>
      <c r="F38" s="54">
        <v>62.66</v>
      </c>
      <c r="G38" s="97">
        <v>61.24</v>
      </c>
      <c r="H38" s="97">
        <v>63.75</v>
      </c>
      <c r="I38" s="97">
        <v>65.06</v>
      </c>
      <c r="J38" s="55">
        <f>ROUNDDOWN(D38*$J$2/Tableau156[[#This Row],[COURS 27/01]],0)</f>
        <v>58036</v>
      </c>
      <c r="K38" s="56">
        <f>J38*Tableau156[[#This Row],[COURS 07/03]]</f>
        <v>3775822.16</v>
      </c>
      <c r="L38" s="57">
        <v>1.73</v>
      </c>
      <c r="M38" s="57"/>
      <c r="N38" s="57"/>
      <c r="O38" s="57"/>
      <c r="P38" s="57"/>
      <c r="Q38" s="58">
        <f t="shared" si="0"/>
        <v>7.7850000000000003E-2</v>
      </c>
      <c r="R38" s="113">
        <f>(Tableau156[[#This Row],[COURS 07/03]]-Tableau156[[#This Row],[COURS 13/02]])/Tableau156[[#This Row],[COURS 13/02]]</f>
        <v>2.0549019607843173E-2</v>
      </c>
    </row>
    <row r="39" spans="2:20" ht="15.5">
      <c r="B39" s="139" t="s">
        <v>54</v>
      </c>
      <c r="C39" s="139"/>
      <c r="D39" s="38">
        <f>SUM(D10:D38)</f>
        <v>1.0000000000000004</v>
      </c>
      <c r="E39" s="37"/>
      <c r="F39" s="37"/>
      <c r="G39" s="37"/>
      <c r="H39" s="37"/>
      <c r="I39" s="37"/>
      <c r="J39" s="37"/>
      <c r="K39" s="64">
        <f>SUM(K10:K38)</f>
        <v>83216909.439999998</v>
      </c>
      <c r="L39" s="20" t="s">
        <v>40</v>
      </c>
      <c r="M39" s="20"/>
      <c r="N39" s="20"/>
      <c r="O39" s="20"/>
      <c r="P39" s="20"/>
      <c r="Q39" s="43">
        <f>SUM(Q10:Q38)</f>
        <v>0.99406100000000019</v>
      </c>
      <c r="R39" s="65">
        <f>SUM(Tableau156[Performance])</f>
        <v>0.65636948642126292</v>
      </c>
    </row>
    <row r="40" spans="2:20" ht="15.5">
      <c r="B40" s="44"/>
      <c r="C40" s="44"/>
      <c r="D40" s="45"/>
      <c r="E40" s="46"/>
      <c r="F40" s="46"/>
      <c r="G40" s="46"/>
      <c r="H40" s="46"/>
      <c r="I40" s="46"/>
      <c r="J40" s="46"/>
      <c r="K40" s="47"/>
      <c r="L40" s="44"/>
      <c r="M40" s="44"/>
      <c r="N40" s="44"/>
      <c r="O40" s="44"/>
      <c r="P40" s="44"/>
      <c r="Q40" s="48"/>
    </row>
    <row r="41" spans="2:20" ht="15" customHeight="1">
      <c r="B41" s="127" t="s">
        <v>41</v>
      </c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</row>
    <row r="42" spans="2:20" ht="15" customHeight="1">
      <c r="B42" s="128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</row>
    <row r="43" spans="2:20" ht="28.5" customHeight="1">
      <c r="B43" s="25" t="s">
        <v>42</v>
      </c>
      <c r="C43" s="25" t="s">
        <v>43</v>
      </c>
      <c r="D43" s="35" t="s">
        <v>44</v>
      </c>
      <c r="E43" s="25" t="s">
        <v>45</v>
      </c>
      <c r="F43" s="25"/>
      <c r="G43" s="25"/>
      <c r="H43" s="25"/>
      <c r="I43" s="25"/>
      <c r="J43" s="26" t="s">
        <v>46</v>
      </c>
      <c r="K43" s="25" t="s">
        <v>47</v>
      </c>
      <c r="L43" s="26" t="s">
        <v>63</v>
      </c>
      <c r="M43" s="26" t="s">
        <v>62</v>
      </c>
      <c r="N43" s="26" t="s">
        <v>65</v>
      </c>
      <c r="O43" s="26" t="s">
        <v>77</v>
      </c>
      <c r="P43" s="26" t="s">
        <v>81</v>
      </c>
      <c r="Q43" s="29" t="s">
        <v>53</v>
      </c>
      <c r="R43" s="25" t="s">
        <v>51</v>
      </c>
      <c r="S43" s="27" t="s">
        <v>48</v>
      </c>
      <c r="T43" s="74" t="s">
        <v>59</v>
      </c>
    </row>
    <row r="44" spans="2:20">
      <c r="B44" s="16" t="s">
        <v>49</v>
      </c>
      <c r="C44" s="21">
        <v>0.02</v>
      </c>
      <c r="D44" s="73">
        <v>48543</v>
      </c>
      <c r="E44" s="22">
        <v>45255</v>
      </c>
      <c r="F44" s="22"/>
      <c r="G44" s="22"/>
      <c r="H44" s="22"/>
      <c r="I44" s="22"/>
      <c r="J44" s="23">
        <v>2.7019999999999999E-2</v>
      </c>
      <c r="K44" s="22">
        <v>44953</v>
      </c>
      <c r="L44" s="24">
        <v>100</v>
      </c>
      <c r="M44" s="24">
        <v>93.7</v>
      </c>
      <c r="N44" s="24">
        <v>93.73</v>
      </c>
      <c r="O44" s="24">
        <v>93.08</v>
      </c>
      <c r="P44" s="24">
        <v>89.79</v>
      </c>
      <c r="Q44" s="39">
        <v>0.6</v>
      </c>
      <c r="R44" s="31">
        <f>ROUNDDOWN(Q44*$J$3/L44,0)</f>
        <v>60000</v>
      </c>
      <c r="S44" s="28">
        <f>R44*P44</f>
        <v>5387400</v>
      </c>
      <c r="T44" s="75">
        <f>(P44-O44)/O44</f>
        <v>-3.5345938977223809E-2</v>
      </c>
    </row>
    <row r="45" spans="2:20">
      <c r="B45" s="16" t="s">
        <v>50</v>
      </c>
      <c r="C45" s="21">
        <v>7.4999999999999997E-3</v>
      </c>
      <c r="D45" s="22">
        <v>46898</v>
      </c>
      <c r="E45" s="22">
        <v>45071</v>
      </c>
      <c r="F45" s="22"/>
      <c r="G45" s="22"/>
      <c r="H45" s="22"/>
      <c r="I45" s="22"/>
      <c r="J45" s="23">
        <v>2.5388000000000001E-2</v>
      </c>
      <c r="K45" s="22">
        <v>44953</v>
      </c>
      <c r="L45" s="30">
        <v>91.49</v>
      </c>
      <c r="M45" s="30">
        <v>90.72</v>
      </c>
      <c r="N45" s="30">
        <v>91.11</v>
      </c>
      <c r="O45" s="30">
        <v>90.65</v>
      </c>
      <c r="P45" s="30">
        <v>88.57</v>
      </c>
      <c r="Q45" s="39">
        <v>0.4</v>
      </c>
      <c r="R45" s="31">
        <f>ROUNDDOWN(Q45*$J$3/L45,0)</f>
        <v>43720</v>
      </c>
      <c r="S45" s="28">
        <f>R45*P45</f>
        <v>3872280.4</v>
      </c>
      <c r="T45" s="75">
        <f>(P45-O45)/O45</f>
        <v>-2.2945394373965939E-2</v>
      </c>
    </row>
    <row r="46" spans="2:20" ht="15.5">
      <c r="L46" s="139" t="s">
        <v>55</v>
      </c>
      <c r="M46" s="139"/>
      <c r="N46" s="139"/>
      <c r="O46" s="139"/>
      <c r="P46" s="139"/>
      <c r="Q46" s="139"/>
      <c r="R46" s="139"/>
      <c r="S46" s="40">
        <f>SUM(S44:S45)</f>
        <v>9259680.4000000004</v>
      </c>
      <c r="T46" s="76">
        <f>SUM(T44:T45)</f>
        <v>-5.8291333351189745E-2</v>
      </c>
    </row>
    <row r="49" spans="2:18" ht="14.5" customHeight="1">
      <c r="B49" s="42" t="s">
        <v>52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</row>
    <row r="50" spans="2:18" ht="14.5" customHeight="1"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</row>
    <row r="51" spans="2:18" ht="15.5">
      <c r="B51" s="60" t="s">
        <v>2</v>
      </c>
      <c r="C51" s="61" t="s">
        <v>0</v>
      </c>
      <c r="D51" s="62" t="s">
        <v>8</v>
      </c>
      <c r="E51" s="61" t="s">
        <v>56</v>
      </c>
      <c r="F51" s="61" t="s">
        <v>57</v>
      </c>
      <c r="G51" s="61" t="s">
        <v>60</v>
      </c>
      <c r="H51" s="61" t="s">
        <v>75</v>
      </c>
      <c r="I51" s="61" t="s">
        <v>79</v>
      </c>
      <c r="J51" s="61" t="s">
        <v>10</v>
      </c>
      <c r="K51" s="61" t="s">
        <v>9</v>
      </c>
      <c r="L51" s="61" t="s">
        <v>1</v>
      </c>
      <c r="M51" s="61" t="s">
        <v>61</v>
      </c>
      <c r="N51" s="61" t="s">
        <v>64</v>
      </c>
      <c r="O51" s="61" t="s">
        <v>71</v>
      </c>
      <c r="P51" s="61" t="s">
        <v>80</v>
      </c>
      <c r="Q51" s="61" t="s">
        <v>11</v>
      </c>
      <c r="R51" s="63" t="s">
        <v>74</v>
      </c>
    </row>
    <row r="52" spans="2:18" ht="15.5">
      <c r="B52" s="49">
        <v>2</v>
      </c>
      <c r="C52" s="15" t="s">
        <v>12</v>
      </c>
      <c r="D52" s="41">
        <v>0.04</v>
      </c>
      <c r="E52" s="6">
        <v>116.62</v>
      </c>
      <c r="F52" s="6">
        <v>112.56</v>
      </c>
      <c r="G52" s="97">
        <v>114</v>
      </c>
      <c r="H52" s="97">
        <v>114.3</v>
      </c>
      <c r="I52" s="97">
        <v>124.48</v>
      </c>
      <c r="J52" s="3">
        <f>ROUNDDOWN(D52*$J$2/Tableau1567[[#This Row],[COURS 27/01]],0)</f>
        <v>27439</v>
      </c>
      <c r="K52" s="2">
        <f>J52*Tableau1567[[#This Row],[COURS 07/03]]</f>
        <v>3415606.72</v>
      </c>
      <c r="L52" s="19">
        <v>1.7</v>
      </c>
      <c r="M52" s="19"/>
      <c r="N52" s="19"/>
      <c r="O52" s="19"/>
      <c r="P52" s="19"/>
      <c r="Q52" s="4">
        <f t="shared" ref="Q52:Q80" si="1">L52*D52</f>
        <v>6.8000000000000005E-2</v>
      </c>
      <c r="R52" s="112">
        <f>(Tableau1567[[#This Row],[COURS 07/03]]-Tableau1567[[#This Row],[COURS 13/02]])/Tableau1567[[#This Row],[COURS 13/02]]</f>
        <v>8.9063867016622986E-2</v>
      </c>
    </row>
    <row r="53" spans="2:18" ht="15.5">
      <c r="B53" s="49">
        <v>29</v>
      </c>
      <c r="C53" s="95" t="s">
        <v>70</v>
      </c>
      <c r="D53" s="41">
        <f>4%</f>
        <v>0.04</v>
      </c>
      <c r="E53" s="8">
        <v>39.33</v>
      </c>
      <c r="F53" s="8">
        <v>15.88</v>
      </c>
      <c r="G53" s="83">
        <v>39.33</v>
      </c>
      <c r="H53" s="83">
        <v>40.85</v>
      </c>
      <c r="I53" s="83">
        <v>42.27</v>
      </c>
      <c r="J53" s="3">
        <f>ROUNDDOWN(D53*$J$2/Tableau1567[[#This Row],[COURS 27/01]],0)</f>
        <v>81362</v>
      </c>
      <c r="K53" s="2">
        <f>J53*Tableau1567[[#This Row],[COURS 07/03]]</f>
        <v>3439171.74</v>
      </c>
      <c r="L53" s="19">
        <v>1.67</v>
      </c>
      <c r="M53" s="19"/>
      <c r="N53" s="19"/>
      <c r="O53" s="19"/>
      <c r="P53" s="19"/>
      <c r="Q53" s="4">
        <f t="shared" si="1"/>
        <v>6.6799999999999998E-2</v>
      </c>
      <c r="R53" s="112">
        <f>(Tableau1567[[#This Row],[COURS 07/03]]-Tableau1567[[#This Row],[COURS 13/02]])/Tableau1567[[#This Row],[COURS 13/02]]</f>
        <v>3.4761321909424762E-2</v>
      </c>
    </row>
    <row r="54" spans="2:18" ht="15.5">
      <c r="B54" s="49">
        <v>12</v>
      </c>
      <c r="C54" s="17" t="s">
        <v>19</v>
      </c>
      <c r="D54" s="41">
        <v>0.05</v>
      </c>
      <c r="E54" s="8">
        <v>557.70000000000005</v>
      </c>
      <c r="F54" s="8">
        <v>565.70000000000005</v>
      </c>
      <c r="G54" s="69">
        <v>579.5</v>
      </c>
      <c r="H54" s="69">
        <v>559.5</v>
      </c>
      <c r="I54" s="69">
        <v>574.1</v>
      </c>
      <c r="J54" s="3">
        <f>ROUNDDOWN(D54*$J$2/Tableau1567[[#This Row],[COURS 27/01]],0)</f>
        <v>7172</v>
      </c>
      <c r="K54" s="2">
        <f>J54*Tableau1567[[#This Row],[COURS 07/03]]</f>
        <v>4117445.2</v>
      </c>
      <c r="L54" s="19">
        <v>1.07</v>
      </c>
      <c r="M54" s="19"/>
      <c r="N54" s="19"/>
      <c r="O54" s="19"/>
      <c r="P54" s="19"/>
      <c r="Q54" s="4">
        <f t="shared" si="1"/>
        <v>5.3500000000000006E-2</v>
      </c>
      <c r="R54" s="112">
        <f>(Tableau1567[[#This Row],[COURS 07/03]]-Tableau1567[[#This Row],[COURS 13/02]])/Tableau1567[[#This Row],[COURS 13/02]]</f>
        <v>2.609472743521005E-2</v>
      </c>
    </row>
    <row r="55" spans="2:18" ht="15.5">
      <c r="B55" s="49">
        <v>18</v>
      </c>
      <c r="C55" s="33" t="s">
        <v>25</v>
      </c>
      <c r="D55" s="41">
        <v>0.03</v>
      </c>
      <c r="E55" s="8">
        <v>62.03</v>
      </c>
      <c r="F55" s="8">
        <v>62.66</v>
      </c>
      <c r="G55" s="90">
        <v>61.24</v>
      </c>
      <c r="H55" s="90">
        <v>63.75</v>
      </c>
      <c r="I55" s="90">
        <v>65.06</v>
      </c>
      <c r="J55" s="3">
        <f>ROUNDDOWN(D55*$J$2/Tableau1567[[#This Row],[COURS 27/01]],0)</f>
        <v>38690</v>
      </c>
      <c r="K55" s="2">
        <f>J55*Tableau1567[[#This Row],[COURS 07/03]]</f>
        <v>2517171.4</v>
      </c>
      <c r="L55" s="19">
        <v>1.2</v>
      </c>
      <c r="M55" s="19"/>
      <c r="N55" s="19"/>
      <c r="O55" s="19"/>
      <c r="P55" s="19"/>
      <c r="Q55" s="4">
        <f t="shared" si="1"/>
        <v>3.5999999999999997E-2</v>
      </c>
      <c r="R55" s="112">
        <f>(Tableau1567[[#This Row],[COURS 07/03]]-Tableau1567[[#This Row],[COURS 13/02]])/Tableau1567[[#This Row],[COURS 13/02]]</f>
        <v>2.0549019607843173E-2</v>
      </c>
    </row>
    <row r="56" spans="2:18" ht="15.5">
      <c r="B56" s="49">
        <v>7</v>
      </c>
      <c r="C56" s="15" t="s">
        <v>16</v>
      </c>
      <c r="D56" s="41">
        <v>0.05</v>
      </c>
      <c r="E56" s="9">
        <v>147.88</v>
      </c>
      <c r="F56" s="9">
        <v>147.13999999999999</v>
      </c>
      <c r="G56" s="85">
        <v>152.66</v>
      </c>
      <c r="H56" s="92">
        <v>150</v>
      </c>
      <c r="I56" s="92">
        <v>155.5</v>
      </c>
      <c r="J56" s="3">
        <f>ROUNDDOWN(D56*$J$2/Tableau1567[[#This Row],[COURS 27/01]],0)</f>
        <v>27048</v>
      </c>
      <c r="K56" s="2">
        <f>J56*Tableau1567[[#This Row],[COURS 07/03]]</f>
        <v>4205964</v>
      </c>
      <c r="L56" s="19">
        <v>1</v>
      </c>
      <c r="M56" s="19"/>
      <c r="N56" s="19"/>
      <c r="O56" s="19"/>
      <c r="P56" s="19"/>
      <c r="Q56" s="4">
        <f t="shared" si="1"/>
        <v>0.05</v>
      </c>
      <c r="R56" s="112">
        <f>(Tableau1567[[#This Row],[COURS 07/03]]-Tableau1567[[#This Row],[COURS 13/02]])/Tableau1567[[#This Row],[COURS 13/02]]</f>
        <v>3.6666666666666667E-2</v>
      </c>
    </row>
    <row r="57" spans="2:18" ht="15.5">
      <c r="B57" s="49">
        <v>3</v>
      </c>
      <c r="C57" s="15" t="s">
        <v>13</v>
      </c>
      <c r="D57" s="41">
        <v>0.05</v>
      </c>
      <c r="E57" s="7">
        <v>801</v>
      </c>
      <c r="F57" s="7">
        <v>797.1</v>
      </c>
      <c r="G57" s="66">
        <v>812.6</v>
      </c>
      <c r="H57" s="94">
        <v>800.5</v>
      </c>
      <c r="I57" s="94">
        <v>816.5</v>
      </c>
      <c r="J57" s="3">
        <f>ROUNDDOWN(D57*$J$2/Tableau1567[[#This Row],[COURS 27/01]],0)</f>
        <v>4993</v>
      </c>
      <c r="K57" s="2">
        <f>J57*Tableau1567[[#This Row],[COURS 07/03]]</f>
        <v>4076784.5</v>
      </c>
      <c r="L57" s="19">
        <v>0.96399999999999997</v>
      </c>
      <c r="M57" s="19"/>
      <c r="N57" s="19"/>
      <c r="O57" s="19"/>
      <c r="P57" s="19"/>
      <c r="Q57" s="4">
        <f t="shared" si="1"/>
        <v>4.82E-2</v>
      </c>
      <c r="R57" s="112">
        <f>(Tableau1567[[#This Row],[COURS 07/03]]-Tableau1567[[#This Row],[COURS 13/02]])/Tableau1567[[#This Row],[COURS 13/02]]</f>
        <v>1.9987507807620236E-2</v>
      </c>
    </row>
    <row r="58" spans="2:18" ht="15.5">
      <c r="B58" s="49">
        <v>13</v>
      </c>
      <c r="C58" s="115" t="s">
        <v>20</v>
      </c>
      <c r="D58" s="41">
        <v>3.4500000000000003E-2</v>
      </c>
      <c r="E58" s="8">
        <v>132.19999999999999</v>
      </c>
      <c r="F58" s="8">
        <v>131.36000000000001</v>
      </c>
      <c r="G58" s="71">
        <v>131.24</v>
      </c>
      <c r="H58" s="71">
        <v>130.54</v>
      </c>
      <c r="I58" s="71">
        <v>136.16</v>
      </c>
      <c r="J58" s="3">
        <f>ROUNDDOWN(D58*$J$2/Tableau1567[[#This Row],[COURS 27/01]],0)</f>
        <v>20877</v>
      </c>
      <c r="K58" s="2">
        <f>J58*Tableau1567[[#This Row],[COURS 07/03]]</f>
        <v>2842612.32</v>
      </c>
      <c r="L58" s="19">
        <v>1.33</v>
      </c>
      <c r="M58" s="19"/>
      <c r="N58" s="19"/>
      <c r="O58" s="19"/>
      <c r="P58" s="19"/>
      <c r="Q58" s="4">
        <f t="shared" si="1"/>
        <v>4.5885000000000009E-2</v>
      </c>
      <c r="R58" s="112">
        <f>(Tableau1567[[#This Row],[COURS 07/03]]-Tableau1567[[#This Row],[COURS 13/02]])/Tableau1567[[#This Row],[COURS 13/02]]</f>
        <v>4.3051938103263403E-2</v>
      </c>
    </row>
    <row r="59" spans="2:18" ht="15.5">
      <c r="B59" s="49">
        <v>27</v>
      </c>
      <c r="C59" s="16" t="s">
        <v>34</v>
      </c>
      <c r="D59" s="41">
        <v>0.05</v>
      </c>
      <c r="E59" s="7">
        <v>64.459999999999994</v>
      </c>
      <c r="F59" s="7">
        <v>65.040000000000006</v>
      </c>
      <c r="G59" s="104">
        <v>73.459999999999994</v>
      </c>
      <c r="H59" s="104">
        <v>74.180000000000007</v>
      </c>
      <c r="I59" s="104">
        <v>76.94</v>
      </c>
      <c r="J59" s="3">
        <f>ROUNDDOWN(D59*$J$2/Tableau1567[[#This Row],[COURS 27/01]],0)</f>
        <v>62053</v>
      </c>
      <c r="K59" s="2">
        <f>J59*Tableau1567[[#This Row],[COURS 07/03]]</f>
        <v>4774357.82</v>
      </c>
      <c r="L59" s="19">
        <v>0.91300000000000003</v>
      </c>
      <c r="M59" s="19"/>
      <c r="N59" s="19"/>
      <c r="O59" s="19"/>
      <c r="P59" s="19"/>
      <c r="Q59" s="4">
        <f t="shared" si="1"/>
        <v>4.5650000000000003E-2</v>
      </c>
      <c r="R59" s="112">
        <f>(Tableau1567[[#This Row],[COURS 07/03]]-Tableau1567[[#This Row],[COURS 13/02]])/Tableau1567[[#This Row],[COURS 13/02]]</f>
        <v>3.7206794284173506E-2</v>
      </c>
    </row>
    <row r="60" spans="2:18" ht="15.5">
      <c r="B60" s="49">
        <v>20</v>
      </c>
      <c r="C60" s="33" t="s">
        <v>27</v>
      </c>
      <c r="D60" s="41">
        <v>0.03</v>
      </c>
      <c r="E60" s="8">
        <v>54.19</v>
      </c>
      <c r="F60" s="8">
        <v>53.27</v>
      </c>
      <c r="G60" s="86">
        <v>54.68</v>
      </c>
      <c r="H60" s="86">
        <v>52.67</v>
      </c>
      <c r="I60" s="86">
        <v>57.46</v>
      </c>
      <c r="J60" s="3">
        <f>ROUNDDOWN(D60*$J$2/Tableau1567[[#This Row],[COURS 27/01]],0)</f>
        <v>44288</v>
      </c>
      <c r="K60" s="2">
        <f>J60*Tableau1567[[#This Row],[COURS 07/03]]</f>
        <v>2544788.48</v>
      </c>
      <c r="L60" s="19">
        <v>1.36</v>
      </c>
      <c r="M60" s="19"/>
      <c r="N60" s="19"/>
      <c r="O60" s="19"/>
      <c r="P60" s="19"/>
      <c r="Q60" s="4">
        <f t="shared" si="1"/>
        <v>4.0800000000000003E-2</v>
      </c>
      <c r="R60" s="112">
        <f>(Tableau1567[[#This Row],[COURS 07/03]]-Tableau1567[[#This Row],[COURS 13/02]])/Tableau1567[[#This Row],[COURS 13/02]]</f>
        <v>9.0943611163850371E-2</v>
      </c>
    </row>
    <row r="61" spans="2:18" ht="15.5">
      <c r="B61" s="49">
        <v>14</v>
      </c>
      <c r="C61" s="33" t="s">
        <v>21</v>
      </c>
      <c r="D61" s="41">
        <v>0.03</v>
      </c>
      <c r="E61" s="8">
        <v>43.69</v>
      </c>
      <c r="F61" s="8">
        <v>43.42</v>
      </c>
      <c r="G61" s="88">
        <v>45.155000000000001</v>
      </c>
      <c r="H61" s="88">
        <v>45.244999999999997</v>
      </c>
      <c r="I61" s="88">
        <v>45.41</v>
      </c>
      <c r="J61" s="3">
        <f>ROUNDDOWN(D61*$J$2/Tableau1567[[#This Row],[COURS 27/01]],0)</f>
        <v>54932</v>
      </c>
      <c r="K61" s="2">
        <f>J61*Tableau1567[[#This Row],[COURS 07/03]]</f>
        <v>2494462.1199999996</v>
      </c>
      <c r="L61" s="19">
        <v>1.29</v>
      </c>
      <c r="M61" s="19"/>
      <c r="N61" s="19"/>
      <c r="O61" s="19"/>
      <c r="P61" s="19"/>
      <c r="Q61" s="4">
        <f t="shared" si="1"/>
        <v>3.8699999999999998E-2</v>
      </c>
      <c r="R61" s="112">
        <f>(Tableau1567[[#This Row],[COURS 07/03]]-Tableau1567[[#This Row],[COURS 13/02]])/Tableau1567[[#This Row],[COURS 13/02]]</f>
        <v>3.6468118024090873E-3</v>
      </c>
    </row>
    <row r="62" spans="2:18" ht="15.5">
      <c r="B62" s="49">
        <v>11</v>
      </c>
      <c r="C62" s="33" t="s">
        <v>7</v>
      </c>
      <c r="D62" s="118">
        <v>0.04</v>
      </c>
      <c r="E62" s="8">
        <v>30.25</v>
      </c>
      <c r="F62" s="8">
        <v>30.35</v>
      </c>
      <c r="G62" s="85">
        <v>30.36</v>
      </c>
      <c r="H62" s="92">
        <v>30.126000000000001</v>
      </c>
      <c r="I62" s="92">
        <v>32.69</v>
      </c>
      <c r="J62" s="3">
        <f>ROUNDDOWN(D62*$J$2/Tableau1567[[#This Row],[COURS 27/01]],0)</f>
        <v>105785</v>
      </c>
      <c r="K62" s="2">
        <f>J62*Tableau1567[[#This Row],[COURS 07/03]]</f>
        <v>3458111.65</v>
      </c>
      <c r="L62" s="19">
        <v>0.95499999999999996</v>
      </c>
      <c r="M62" s="19"/>
      <c r="N62" s="19"/>
      <c r="O62" s="19"/>
      <c r="P62" s="19"/>
      <c r="Q62" s="4">
        <f t="shared" si="1"/>
        <v>3.8199999999999998E-2</v>
      </c>
      <c r="R62" s="112">
        <f>(Tableau1567[[#This Row],[COURS 07/03]]-Tableau1567[[#This Row],[COURS 13/02]])/Tableau1567[[#This Row],[COURS 13/02]]</f>
        <v>8.5109207993095543E-2</v>
      </c>
    </row>
    <row r="63" spans="2:18" ht="15.5">
      <c r="B63" s="49">
        <v>8</v>
      </c>
      <c r="C63" s="32" t="s">
        <v>17</v>
      </c>
      <c r="D63" s="41">
        <v>0.04</v>
      </c>
      <c r="E63" s="10">
        <v>105.04</v>
      </c>
      <c r="F63" s="10">
        <v>104.14</v>
      </c>
      <c r="G63" s="71">
        <v>104.7</v>
      </c>
      <c r="H63" s="71">
        <v>105.16</v>
      </c>
      <c r="I63" s="71">
        <v>108.9</v>
      </c>
      <c r="J63" s="3">
        <f>ROUNDDOWN(D63*$J$2/Tableau1567[[#This Row],[COURS 27/01]],0)</f>
        <v>30464</v>
      </c>
      <c r="K63" s="2">
        <f>J63*Tableau1567[[#This Row],[COURS 07/03]]</f>
        <v>3317529.6</v>
      </c>
      <c r="L63" s="19">
        <v>0.95299999999999996</v>
      </c>
      <c r="M63" s="19"/>
      <c r="N63" s="19"/>
      <c r="O63" s="19"/>
      <c r="P63" s="19"/>
      <c r="Q63" s="4">
        <f t="shared" si="1"/>
        <v>3.8120000000000001E-2</v>
      </c>
      <c r="R63" s="112">
        <f>(Tableau1567[[#This Row],[COURS 07/03]]-Tableau1567[[#This Row],[COURS 13/02]])/Tableau1567[[#This Row],[COURS 13/02]]</f>
        <v>3.5564853556485441E-2</v>
      </c>
    </row>
    <row r="64" spans="2:18" ht="15.5">
      <c r="B64" s="49">
        <v>5</v>
      </c>
      <c r="C64" s="15" t="s">
        <v>14</v>
      </c>
      <c r="D64" s="41">
        <v>3.5000000000000003E-2</v>
      </c>
      <c r="E64" s="8">
        <v>58.62</v>
      </c>
      <c r="F64" s="8">
        <v>57.89</v>
      </c>
      <c r="G64" s="90">
        <v>56.47</v>
      </c>
      <c r="H64" s="90">
        <v>59.34</v>
      </c>
      <c r="I64" s="90">
        <v>59.55</v>
      </c>
      <c r="J64" s="3">
        <f>ROUNDDOWN(D64*$J$2/Tableau1567[[#This Row],[COURS 27/01]],0)</f>
        <v>47765</v>
      </c>
      <c r="K64" s="2">
        <f>J64*Tableau1567[[#This Row],[COURS 07/03]]</f>
        <v>2844405.75</v>
      </c>
      <c r="L64" s="19">
        <v>0.99299999999999999</v>
      </c>
      <c r="M64" s="19"/>
      <c r="N64" s="19"/>
      <c r="O64" s="19"/>
      <c r="P64" s="19"/>
      <c r="Q64" s="4">
        <f t="shared" si="1"/>
        <v>3.4755000000000001E-2</v>
      </c>
      <c r="R64" s="112">
        <f>(Tableau1567[[#This Row],[COURS 07/03]]-Tableau1567[[#This Row],[COURS 13/02]])/Tableau1567[[#This Row],[COURS 13/02]]</f>
        <v>3.5389282103133425E-3</v>
      </c>
    </row>
    <row r="65" spans="2:18" ht="15.5">
      <c r="B65" s="49">
        <v>28</v>
      </c>
      <c r="C65" s="33" t="s">
        <v>4</v>
      </c>
      <c r="D65" s="41">
        <v>0.03</v>
      </c>
      <c r="E65" s="8">
        <v>173</v>
      </c>
      <c r="F65" s="8">
        <v>172.4</v>
      </c>
      <c r="G65" s="88">
        <v>185.15</v>
      </c>
      <c r="H65" s="88">
        <v>182.9</v>
      </c>
      <c r="I65" s="88">
        <v>180.1</v>
      </c>
      <c r="J65" s="3">
        <f>ROUNDDOWN(D65*$J$2/Tableau1567[[#This Row],[COURS 27/01]],0)</f>
        <v>13872</v>
      </c>
      <c r="K65" s="2">
        <f>J65*Tableau1567[[#This Row],[COURS 07/03]]</f>
        <v>2498347.1999999997</v>
      </c>
      <c r="L65" s="19">
        <v>1.1499999999999999</v>
      </c>
      <c r="M65" s="19"/>
      <c r="N65" s="19"/>
      <c r="O65" s="19"/>
      <c r="P65" s="19"/>
      <c r="Q65" s="4">
        <f t="shared" si="1"/>
        <v>3.4499999999999996E-2</v>
      </c>
      <c r="R65" s="112">
        <f>(Tableau1567[[#This Row],[COURS 07/03]]-Tableau1567[[#This Row],[COURS 13/02]])/Tableau1567[[#This Row],[COURS 13/02]]</f>
        <v>-1.5308911973756213E-2</v>
      </c>
    </row>
    <row r="66" spans="2:18" ht="15.5">
      <c r="B66" s="49">
        <v>10</v>
      </c>
      <c r="C66" s="15" t="s">
        <v>18</v>
      </c>
      <c r="D66" s="41">
        <v>0.05</v>
      </c>
      <c r="E66" s="11">
        <v>1697.5</v>
      </c>
      <c r="F66" s="11" t="s">
        <v>58</v>
      </c>
      <c r="G66" s="120">
        <v>1741.5</v>
      </c>
      <c r="H66" s="120">
        <v>1680</v>
      </c>
      <c r="I66" s="120">
        <v>1741</v>
      </c>
      <c r="J66" s="3">
        <f>ROUNDDOWN(D66*$J$2/Tableau1567[[#This Row],[COURS 27/01]],0)</f>
        <v>2356</v>
      </c>
      <c r="K66" s="2">
        <f>J66*Tableau1567[[#This Row],[COURS 07/03]]</f>
        <v>4101796</v>
      </c>
      <c r="L66" s="19">
        <v>0.65700000000000003</v>
      </c>
      <c r="M66" s="19"/>
      <c r="N66" s="19"/>
      <c r="O66" s="19"/>
      <c r="P66" s="19"/>
      <c r="Q66" s="4">
        <f t="shared" si="1"/>
        <v>3.2850000000000004E-2</v>
      </c>
      <c r="R66" s="112">
        <f>(Tableau1567[[#This Row],[COURS 07/03]]-Tableau1567[[#This Row],[COURS 13/02]])/Tableau1567[[#This Row],[COURS 13/02]]</f>
        <v>3.6309523809523812E-2</v>
      </c>
    </row>
    <row r="67" spans="2:18" ht="15.5">
      <c r="B67" s="49">
        <v>22</v>
      </c>
      <c r="C67" s="16" t="s">
        <v>29</v>
      </c>
      <c r="D67" s="41">
        <v>0.05</v>
      </c>
      <c r="E67" s="8">
        <v>121.3</v>
      </c>
      <c r="F67" s="8">
        <v>120.45</v>
      </c>
      <c r="G67" s="71">
        <v>118.75</v>
      </c>
      <c r="H67" s="71">
        <v>122.45</v>
      </c>
      <c r="I67" s="71">
        <v>132.19999999999999</v>
      </c>
      <c r="J67" s="3">
        <f>ROUNDDOWN(D67*$J$2/Tableau1567[[#This Row],[COURS 27/01]],0)</f>
        <v>32976</v>
      </c>
      <c r="K67" s="2">
        <f>J67*Tableau1567[[#This Row],[COURS 07/03]]</f>
        <v>4359427.1999999993</v>
      </c>
      <c r="L67" s="19">
        <v>0.63500000000000001</v>
      </c>
      <c r="M67" s="19"/>
      <c r="N67" s="19"/>
      <c r="O67" s="19"/>
      <c r="P67" s="19"/>
      <c r="Q67" s="4">
        <f t="shared" si="1"/>
        <v>3.175E-2</v>
      </c>
      <c r="R67" s="112">
        <f>(Tableau1567[[#This Row],[COURS 07/03]]-Tableau1567[[#This Row],[COURS 13/02]])/Tableau1567[[#This Row],[COURS 13/02]]</f>
        <v>7.9624336463862688E-2</v>
      </c>
    </row>
    <row r="68" spans="2:18" ht="15.5">
      <c r="B68" s="49">
        <v>4</v>
      </c>
      <c r="C68" s="15" t="s">
        <v>5</v>
      </c>
      <c r="D68" s="41">
        <v>0.05</v>
      </c>
      <c r="E68" s="7">
        <v>378.45</v>
      </c>
      <c r="F68" s="7">
        <v>378.55</v>
      </c>
      <c r="G68" s="116">
        <v>380.65</v>
      </c>
      <c r="H68" s="117">
        <v>380</v>
      </c>
      <c r="I68" s="117">
        <v>376.15</v>
      </c>
      <c r="J68" s="3">
        <f>ROUNDDOWN(D68*$J$2/Tableau1567[[#This Row],[COURS 27/01]],0)</f>
        <v>10569</v>
      </c>
      <c r="K68" s="2">
        <f>J68*Tableau1567[[#This Row],[COURS 07/03]]</f>
        <v>3975529.3499999996</v>
      </c>
      <c r="L68" s="19">
        <v>0.60399999999999998</v>
      </c>
      <c r="M68" s="19"/>
      <c r="N68" s="19"/>
      <c r="O68" s="19"/>
      <c r="P68" s="19"/>
      <c r="Q68" s="4">
        <f t="shared" si="1"/>
        <v>3.0200000000000001E-2</v>
      </c>
      <c r="R68" s="112">
        <f>(Tableau1567[[#This Row],[COURS 07/03]]-Tableau1567[[#This Row],[COURS 13/02]])/Tableau1567[[#This Row],[COURS 13/02]]</f>
        <v>-1.0131578947368481E-2</v>
      </c>
    </row>
    <row r="69" spans="2:18" ht="15.5">
      <c r="B69" s="49">
        <v>25</v>
      </c>
      <c r="C69" s="33" t="s">
        <v>82</v>
      </c>
      <c r="D69" s="41">
        <v>0.03</v>
      </c>
      <c r="E69" s="123">
        <v>88.88</v>
      </c>
      <c r="F69" s="123">
        <v>48</v>
      </c>
      <c r="G69" s="124">
        <v>49.95</v>
      </c>
      <c r="H69" s="124">
        <v>51.3</v>
      </c>
      <c r="I69" s="124">
        <v>88.8</v>
      </c>
      <c r="J69" s="3">
        <f>ROUNDDOWN(D69*$J$2/Tableau1567[[#This Row],[COURS 27/01]],0)</f>
        <v>27002</v>
      </c>
      <c r="K69" s="2">
        <f>J69*Tableau1567[[#This Row],[COURS 07/03]]</f>
        <v>2397777.6</v>
      </c>
      <c r="L69" s="19">
        <v>0.96</v>
      </c>
      <c r="M69" s="19"/>
      <c r="N69" s="19"/>
      <c r="O69" s="19"/>
      <c r="P69" s="19"/>
      <c r="Q69" s="4">
        <f t="shared" si="1"/>
        <v>2.8799999999999999E-2</v>
      </c>
      <c r="R69" s="112" t="s">
        <v>83</v>
      </c>
    </row>
    <row r="70" spans="2:18" ht="15.5">
      <c r="B70" s="49">
        <v>21</v>
      </c>
      <c r="C70" s="95" t="s">
        <v>28</v>
      </c>
      <c r="D70" s="41">
        <v>0.02</v>
      </c>
      <c r="E70" s="8">
        <v>63.15</v>
      </c>
      <c r="F70" s="8">
        <v>62.75</v>
      </c>
      <c r="G70" s="97">
        <v>65.099999999999994</v>
      </c>
      <c r="H70" s="97">
        <v>64.099999999999994</v>
      </c>
      <c r="I70" s="97">
        <v>61.85</v>
      </c>
      <c r="J70" s="3">
        <f>ROUNDDOWN(D70*$J$2/Tableau1567[[#This Row],[COURS 27/01]],0)</f>
        <v>25336</v>
      </c>
      <c r="K70" s="2">
        <f>J70*Tableau1567[[#This Row],[COURS 07/03]]</f>
        <v>1567031.6</v>
      </c>
      <c r="L70" s="19">
        <v>1.43</v>
      </c>
      <c r="M70" s="19"/>
      <c r="N70" s="19"/>
      <c r="O70" s="19"/>
      <c r="P70" s="19"/>
      <c r="Q70" s="4">
        <f t="shared" si="1"/>
        <v>2.86E-2</v>
      </c>
      <c r="R70" s="112">
        <f>(Tableau1567[[#This Row],[COURS 07/03]]-Tableau1567[[#This Row],[COURS 13/02]])/Tableau1567[[#This Row],[COURS 13/02]]</f>
        <v>-3.510140405616214E-2</v>
      </c>
    </row>
    <row r="71" spans="2:18" ht="15.5">
      <c r="B71" s="49">
        <v>17</v>
      </c>
      <c r="C71" s="16" t="s">
        <v>24</v>
      </c>
      <c r="D71" s="41">
        <v>0.04</v>
      </c>
      <c r="E71" s="8">
        <v>33.69</v>
      </c>
      <c r="F71" s="8">
        <v>34.06</v>
      </c>
      <c r="G71" s="66">
        <v>38.049999999999997</v>
      </c>
      <c r="H71" s="94">
        <v>37.01</v>
      </c>
      <c r="I71" s="94">
        <v>37</v>
      </c>
      <c r="J71" s="3">
        <f>ROUNDDOWN(D71*$J$2/Tableau1567[[#This Row],[COURS 27/01]],0)</f>
        <v>94983</v>
      </c>
      <c r="K71" s="2">
        <f>J71*Tableau1567[[#This Row],[COURS 07/03]]</f>
        <v>3514371</v>
      </c>
      <c r="L71" s="19">
        <v>0.68899999999999995</v>
      </c>
      <c r="M71" s="19"/>
      <c r="N71" s="19"/>
      <c r="O71" s="19"/>
      <c r="P71" s="19"/>
      <c r="Q71" s="4">
        <f t="shared" si="1"/>
        <v>2.7559999999999998E-2</v>
      </c>
      <c r="R71" s="112">
        <f>(Tableau1567[[#This Row],[COURS 07/03]]-Tableau1567[[#This Row],[COURS 13/02]])/Tableau1567[[#This Row],[COURS 13/02]]</f>
        <v>-2.7019724398805758E-4</v>
      </c>
    </row>
    <row r="72" spans="2:18" ht="15.5">
      <c r="B72" s="49">
        <v>6</v>
      </c>
      <c r="C72" s="15" t="s">
        <v>15</v>
      </c>
      <c r="D72" s="75">
        <v>0.04</v>
      </c>
      <c r="E72" s="9">
        <v>148.26</v>
      </c>
      <c r="F72" s="9">
        <v>147.80000000000001</v>
      </c>
      <c r="G72" s="71">
        <v>144</v>
      </c>
      <c r="H72" s="71">
        <v>142.9</v>
      </c>
      <c r="I72" s="71">
        <v>148.36000000000001</v>
      </c>
      <c r="J72" s="3">
        <f>ROUNDDOWN(D72*$J$2/Tableau1567[[#This Row],[COURS 27/01]],0)</f>
        <v>21583</v>
      </c>
      <c r="K72" s="2">
        <f>J72*Tableau1567[[#This Row],[COURS 07/03]]</f>
        <v>3202053.8800000004</v>
      </c>
      <c r="L72" s="19">
        <v>0.63600000000000001</v>
      </c>
      <c r="M72" s="19"/>
      <c r="N72" s="19"/>
      <c r="O72" s="19"/>
      <c r="P72" s="19"/>
      <c r="Q72" s="4">
        <f t="shared" si="1"/>
        <v>2.5440000000000001E-2</v>
      </c>
      <c r="R72" s="112">
        <f>(Tableau1567[[#This Row],[COURS 07/03]]-Tableau1567[[#This Row],[COURS 13/02]])/Tableau1567[[#This Row],[COURS 13/02]]</f>
        <v>3.8208537438768425E-2</v>
      </c>
    </row>
    <row r="73" spans="2:18" ht="15.5">
      <c r="B73" s="49">
        <v>24</v>
      </c>
      <c r="C73" s="33" t="s">
        <v>31</v>
      </c>
      <c r="D73" s="41">
        <v>2.35E-2</v>
      </c>
      <c r="E73" s="8">
        <v>166.15</v>
      </c>
      <c r="F73" s="8">
        <v>167.25</v>
      </c>
      <c r="G73" s="82">
        <v>174.5</v>
      </c>
      <c r="H73" s="82">
        <v>168.6</v>
      </c>
      <c r="I73" s="82">
        <v>165.35</v>
      </c>
      <c r="J73" s="3">
        <f>ROUNDDOWN(D73*$J$2/Tableau1567[[#This Row],[COURS 27/01]],0)</f>
        <v>11315</v>
      </c>
      <c r="K73" s="2">
        <f>J73*Tableau1567[[#This Row],[COURS 07/03]]</f>
        <v>1870935.25</v>
      </c>
      <c r="L73" s="19">
        <v>0.91200000000000003</v>
      </c>
      <c r="M73" s="19"/>
      <c r="N73" s="19"/>
      <c r="O73" s="19"/>
      <c r="P73" s="19"/>
      <c r="Q73" s="4">
        <f t="shared" si="1"/>
        <v>2.1432E-2</v>
      </c>
      <c r="R73" s="112">
        <f>(Tableau1567[[#This Row],[COURS 07/03]]-Tableau1567[[#This Row],[COURS 13/02]])/Tableau1567[[#This Row],[COURS 13/02]]</f>
        <v>-1.9276393831553974E-2</v>
      </c>
    </row>
    <row r="74" spans="2:18" ht="15.5">
      <c r="B74" s="49">
        <v>26</v>
      </c>
      <c r="C74" s="95" t="s">
        <v>33</v>
      </c>
      <c r="D74" s="41">
        <v>0.01</v>
      </c>
      <c r="E74" s="8">
        <v>6.48</v>
      </c>
      <c r="F74" s="8">
        <v>6.5</v>
      </c>
      <c r="G74" s="82">
        <v>7</v>
      </c>
      <c r="H74" s="82">
        <v>7.13</v>
      </c>
      <c r="I74" s="82">
        <v>7.6</v>
      </c>
      <c r="J74" s="3">
        <f>ROUNDDOWN(D74*$J$2/Tableau1567[[#This Row],[COURS 27/01]],0)</f>
        <v>123456</v>
      </c>
      <c r="K74" s="2">
        <f>J74*Tableau1567[[#This Row],[COURS 07/03]]</f>
        <v>938265.59999999998</v>
      </c>
      <c r="L74" s="19">
        <v>1.7</v>
      </c>
      <c r="M74" s="19"/>
      <c r="N74" s="19"/>
      <c r="O74" s="19"/>
      <c r="P74" s="19"/>
      <c r="Q74" s="4">
        <f t="shared" si="1"/>
        <v>1.7000000000000001E-2</v>
      </c>
      <c r="R74" s="112">
        <f>(Tableau1567[[#This Row],[COURS 07/03]]-Tableau1567[[#This Row],[COURS 13/02]])/Tableau1567[[#This Row],[COURS 13/02]]</f>
        <v>6.5918653576437558E-2</v>
      </c>
    </row>
    <row r="75" spans="2:18" ht="15.5">
      <c r="B75" s="49">
        <v>19</v>
      </c>
      <c r="C75" s="33" t="s">
        <v>26</v>
      </c>
      <c r="D75" s="41">
        <v>2.8000000000000001E-2</v>
      </c>
      <c r="E75" s="7">
        <v>17.510000000000002</v>
      </c>
      <c r="F75" s="7">
        <v>17.52</v>
      </c>
      <c r="G75" s="110">
        <v>17.100000000000001</v>
      </c>
      <c r="H75" s="111">
        <v>16.375</v>
      </c>
      <c r="I75" s="111">
        <v>17.940000000000001</v>
      </c>
      <c r="J75" s="3">
        <f>ROUNDDOWN(D75*$J$2/Tableau1567[[#This Row],[COURS 27/01]],0)</f>
        <v>127926</v>
      </c>
      <c r="K75" s="2">
        <f>J75*Tableau1567[[#This Row],[COURS 07/03]]</f>
        <v>2294992.44</v>
      </c>
      <c r="L75" s="19">
        <v>0.54900000000000004</v>
      </c>
      <c r="M75" s="19"/>
      <c r="N75" s="19"/>
      <c r="O75" s="19"/>
      <c r="P75" s="19"/>
      <c r="Q75" s="4">
        <f t="shared" si="1"/>
        <v>1.5372000000000002E-2</v>
      </c>
      <c r="R75" s="112">
        <f>(Tableau1567[[#This Row],[COURS 07/03]]-Tableau1567[[#This Row],[COURS 13/02]])/Tableau1567[[#This Row],[COURS 13/02]]</f>
        <v>9.5572519083969548E-2</v>
      </c>
    </row>
    <row r="76" spans="2:18" ht="15.5">
      <c r="B76" s="49">
        <v>15</v>
      </c>
      <c r="C76" s="33" t="s">
        <v>22</v>
      </c>
      <c r="D76" s="41">
        <v>1.7500000000000002E-2</v>
      </c>
      <c r="E76" s="8">
        <v>34.69</v>
      </c>
      <c r="F76" s="8">
        <v>34.22</v>
      </c>
      <c r="G76" s="97">
        <v>36.76</v>
      </c>
      <c r="H76" s="97">
        <v>35.9</v>
      </c>
      <c r="I76" s="97">
        <v>29.75</v>
      </c>
      <c r="J76" s="3">
        <f>ROUNDDOWN(D76*$J$2/Tableau1567[[#This Row],[COURS 27/01]],0)</f>
        <v>40357</v>
      </c>
      <c r="K76" s="2">
        <f>J76*Tableau1567[[#This Row],[COURS 07/03]]</f>
        <v>1200620.75</v>
      </c>
      <c r="L76" s="19">
        <v>0.84699999999999998</v>
      </c>
      <c r="M76" s="19"/>
      <c r="N76" s="19"/>
      <c r="O76" s="19"/>
      <c r="P76" s="19"/>
      <c r="Q76" s="4">
        <f t="shared" si="1"/>
        <v>1.4822500000000001E-2</v>
      </c>
      <c r="R76" s="112">
        <f>(Tableau1567[[#This Row],[COURS 07/03]]-Tableau1567[[#This Row],[COURS 13/02]])/Tableau1567[[#This Row],[COURS 13/02]]</f>
        <v>-0.17130919220055707</v>
      </c>
    </row>
    <row r="77" spans="2:18" ht="15.5">
      <c r="B77" s="49">
        <v>1</v>
      </c>
      <c r="C77" s="32" t="s">
        <v>6</v>
      </c>
      <c r="D77" s="41">
        <v>2.8000000000000001E-2</v>
      </c>
      <c r="E77" s="5">
        <v>49.53</v>
      </c>
      <c r="F77" s="5">
        <v>50.25</v>
      </c>
      <c r="G77" s="87">
        <v>50.42</v>
      </c>
      <c r="H77" s="121">
        <v>50.34</v>
      </c>
      <c r="I77" s="121">
        <v>53.39</v>
      </c>
      <c r="J77" s="3">
        <f>ROUNDDOWN(D77*$J$2/Tableau1567[[#This Row],[COURS 27/01]],0)</f>
        <v>45225</v>
      </c>
      <c r="K77" s="2">
        <f>J77*Tableau1567[[#This Row],[COURS 07/03]]</f>
        <v>2414562.75</v>
      </c>
      <c r="L77" s="19">
        <v>0.49</v>
      </c>
      <c r="M77" s="19"/>
      <c r="N77" s="19"/>
      <c r="O77" s="19"/>
      <c r="P77" s="19"/>
      <c r="Q77" s="4">
        <f t="shared" si="1"/>
        <v>1.372E-2</v>
      </c>
      <c r="R77" s="112">
        <f>(Tableau1567[[#This Row],[COURS 07/03]]-Tableau1567[[#This Row],[COURS 13/02]])/Tableau1567[[#This Row],[COURS 13/02]]</f>
        <v>6.0588001589193426E-2</v>
      </c>
    </row>
    <row r="78" spans="2:18" ht="15.5">
      <c r="B78" s="49">
        <v>16</v>
      </c>
      <c r="C78" s="16" t="s">
        <v>23</v>
      </c>
      <c r="D78" s="41">
        <v>0.03</v>
      </c>
      <c r="E78" s="8">
        <v>184.2</v>
      </c>
      <c r="F78" s="8">
        <v>186.3</v>
      </c>
      <c r="G78" s="98">
        <v>192.2</v>
      </c>
      <c r="H78" s="101">
        <v>187.35</v>
      </c>
      <c r="I78" s="101">
        <v>200.3</v>
      </c>
      <c r="J78" s="3">
        <f>ROUNDDOWN(D78*$J$2/Tableau1567[[#This Row],[COURS 27/01]],0)</f>
        <v>13029</v>
      </c>
      <c r="K78" s="2">
        <f>J78*Tableau1567[[#This Row],[COURS 07/03]]</f>
        <v>2609708.7000000002</v>
      </c>
      <c r="L78" s="19">
        <v>0.43</v>
      </c>
      <c r="M78" s="19"/>
      <c r="N78" s="19"/>
      <c r="O78" s="19"/>
      <c r="P78" s="19"/>
      <c r="Q78" s="4">
        <f t="shared" si="1"/>
        <v>1.29E-2</v>
      </c>
      <c r="R78" s="112">
        <f>(Tableau1567[[#This Row],[COURS 07/03]]-Tableau1567[[#This Row],[COURS 13/02]])/Tableau1567[[#This Row],[COURS 13/02]]</f>
        <v>6.9121964238057207E-2</v>
      </c>
    </row>
    <row r="79" spans="2:18" ht="15.5">
      <c r="B79" s="49">
        <v>23</v>
      </c>
      <c r="C79" s="95" t="s">
        <v>30</v>
      </c>
      <c r="D79" s="41">
        <v>1.35E-2</v>
      </c>
      <c r="E79" s="8">
        <v>281</v>
      </c>
      <c r="F79" s="8">
        <v>277.5</v>
      </c>
      <c r="G79" s="85">
        <v>292.5</v>
      </c>
      <c r="H79" s="92">
        <v>289</v>
      </c>
      <c r="I79" s="92">
        <v>283</v>
      </c>
      <c r="J79" s="3">
        <f>ROUNDDOWN(D79*$J$2/Tableau1567[[#This Row],[COURS 27/01]],0)</f>
        <v>3843</v>
      </c>
      <c r="K79" s="2">
        <f>J79*Tableau1567[[#This Row],[COURS 07/03]]</f>
        <v>1087569</v>
      </c>
      <c r="L79" s="19">
        <v>0.80300000000000005</v>
      </c>
      <c r="M79" s="19"/>
      <c r="N79" s="19"/>
      <c r="O79" s="19"/>
      <c r="P79" s="19"/>
      <c r="Q79" s="4">
        <f t="shared" si="1"/>
        <v>1.0840500000000001E-2</v>
      </c>
      <c r="R79" s="112">
        <f>(Tableau1567[[#This Row],[COURS 07/03]]-Tableau1567[[#This Row],[COURS 13/02]])/Tableau1567[[#This Row],[COURS 13/02]]</f>
        <v>-2.0761245674740483E-2</v>
      </c>
    </row>
    <row r="80" spans="2:18" ht="15.5">
      <c r="B80" s="51">
        <v>9</v>
      </c>
      <c r="C80" s="52" t="s">
        <v>3</v>
      </c>
      <c r="D80" s="126">
        <v>0.02</v>
      </c>
      <c r="E80" s="119">
        <v>89.55</v>
      </c>
      <c r="F80" s="119">
        <v>89.73</v>
      </c>
      <c r="G80" s="86">
        <v>85.56</v>
      </c>
      <c r="H80" s="86">
        <v>88.52</v>
      </c>
      <c r="I80" s="86">
        <v>89.2</v>
      </c>
      <c r="J80" s="55">
        <f>ROUNDDOWN(D80*$J$2/Tableau1567[[#This Row],[COURS 27/01]],0)</f>
        <v>17867</v>
      </c>
      <c r="K80" s="56">
        <f>J80*Tableau1567[[#This Row],[COURS 07/03]]</f>
        <v>1593736.4000000001</v>
      </c>
      <c r="L80" s="57">
        <v>0.41599999999999998</v>
      </c>
      <c r="M80" s="57"/>
      <c r="N80" s="57"/>
      <c r="O80" s="57"/>
      <c r="P80" s="57"/>
      <c r="Q80" s="58">
        <f t="shared" si="1"/>
        <v>8.3199999999999993E-3</v>
      </c>
      <c r="R80" s="113">
        <f>(Tableau1567[[#This Row],[COURS 07/03]]-Tableau1567[[#This Row],[COURS 13/02]])/Tableau1567[[#This Row],[COURS 13/02]]</f>
        <v>7.6818798011749527E-3</v>
      </c>
    </row>
    <row r="81" spans="2:18" ht="15.5">
      <c r="B81" s="139" t="s">
        <v>54</v>
      </c>
      <c r="C81" s="139"/>
      <c r="D81" s="38">
        <f>SUM(D52:D80)</f>
        <v>1.0000000000000002</v>
      </c>
      <c r="E81" s="37"/>
      <c r="F81" s="37"/>
      <c r="G81" s="37"/>
      <c r="H81" s="37"/>
      <c r="I81" s="37"/>
      <c r="J81" s="37"/>
      <c r="K81" s="64">
        <f>SUM(K52:K80)</f>
        <v>83675136.020000011</v>
      </c>
      <c r="L81" s="20" t="s">
        <v>40</v>
      </c>
      <c r="M81" s="20"/>
      <c r="N81" s="20"/>
      <c r="O81" s="20"/>
      <c r="P81" s="20"/>
      <c r="Q81" s="43">
        <f>SUM(Q52:Q80)</f>
        <v>0.95871700000000015</v>
      </c>
      <c r="R81" s="65">
        <f>SUM(Tableau1567[Performance])</f>
        <v>0.70705174762983969</v>
      </c>
    </row>
    <row r="84" spans="2:18">
      <c r="B84" s="125" t="s">
        <v>89</v>
      </c>
    </row>
    <row r="85" spans="2:18">
      <c r="B85" s="1"/>
      <c r="C85" s="1" t="s">
        <v>84</v>
      </c>
      <c r="D85" s="122" t="s">
        <v>85</v>
      </c>
      <c r="E85" s="1" t="s">
        <v>88</v>
      </c>
      <c r="F85" s="1"/>
      <c r="G85" s="1"/>
      <c r="H85" s="1" t="s">
        <v>86</v>
      </c>
      <c r="I85" s="1" t="s">
        <v>87</v>
      </c>
    </row>
    <row r="86" spans="2:18">
      <c r="B86" s="1" t="s">
        <v>32</v>
      </c>
      <c r="C86" s="12">
        <v>49.85</v>
      </c>
      <c r="D86" s="12">
        <v>48.7</v>
      </c>
      <c r="E86" s="1">
        <v>32096</v>
      </c>
      <c r="F86" s="1"/>
      <c r="G86" s="1"/>
      <c r="H86" s="1"/>
      <c r="I86" s="12">
        <f>(D86-C86)*E86</f>
        <v>-36910.399999999958</v>
      </c>
    </row>
    <row r="87" spans="2:18">
      <c r="B87" s="1"/>
      <c r="C87" s="1"/>
      <c r="D87" s="122"/>
      <c r="E87" s="1"/>
      <c r="F87" s="1"/>
      <c r="G87" s="1"/>
      <c r="H87" s="1"/>
      <c r="I87" s="1"/>
    </row>
    <row r="89" spans="2:18">
      <c r="B89" s="125" t="s">
        <v>90</v>
      </c>
    </row>
    <row r="90" spans="2:18">
      <c r="B90" s="1"/>
      <c r="C90" s="1" t="s">
        <v>91</v>
      </c>
      <c r="D90" s="122" t="s">
        <v>92</v>
      </c>
      <c r="E90" s="1" t="s">
        <v>93</v>
      </c>
    </row>
    <row r="91" spans="2:18">
      <c r="B91" s="1" t="s">
        <v>82</v>
      </c>
      <c r="C91" s="1">
        <v>88.88</v>
      </c>
      <c r="D91" s="1">
        <v>27002</v>
      </c>
      <c r="E91" s="12">
        <f>C91*D91</f>
        <v>2399937.7599999998</v>
      </c>
    </row>
  </sheetData>
  <mergeCells count="3">
    <mergeCell ref="B81:C81"/>
    <mergeCell ref="B39:C39"/>
    <mergeCell ref="L46:R46"/>
  </mergeCells>
  <phoneticPr fontId="20" type="noConversion"/>
  <conditionalFormatting sqref="R10:R38">
    <cfRule type="cellIs" dxfId="4" priority="3" operator="lessThan">
      <formula>0</formula>
    </cfRule>
    <cfRule type="cellIs" dxfId="3" priority="4" operator="greaterThan">
      <formula>0</formula>
    </cfRule>
  </conditionalFormatting>
  <conditionalFormatting sqref="R52:R80">
    <cfRule type="cellIs" dxfId="2" priority="1" operator="lessThan">
      <formula>0</formula>
    </cfRule>
    <cfRule type="cellIs" dxfId="1" priority="2" operator="greaterThan">
      <formula>0</formula>
    </cfRule>
  </conditionalFormatting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9B148-F830-4690-8177-F5A23FCFA12B}">
  <sheetPr codeName="Feuil5"/>
  <dimension ref="B1:G14"/>
  <sheetViews>
    <sheetView zoomScaleNormal="100" workbookViewId="0">
      <selection activeCell="H3" sqref="H3"/>
    </sheetView>
  </sheetViews>
  <sheetFormatPr baseColWidth="10" defaultRowHeight="14.5"/>
  <cols>
    <col min="2" max="2" width="37.26953125" bestFit="1" customWidth="1"/>
    <col min="3" max="3" width="16.7265625" bestFit="1" customWidth="1"/>
    <col min="4" max="4" width="16.453125" bestFit="1" customWidth="1"/>
    <col min="5" max="7" width="16.7265625" bestFit="1" customWidth="1"/>
  </cols>
  <sheetData>
    <row r="1" spans="2:7">
      <c r="B1" s="77"/>
      <c r="C1" s="144" t="s">
        <v>68</v>
      </c>
      <c r="D1" s="145"/>
      <c r="E1" s="145"/>
      <c r="F1" s="145"/>
      <c r="G1" s="145"/>
    </row>
    <row r="2" spans="2:7">
      <c r="B2" s="78" t="s">
        <v>66</v>
      </c>
      <c r="C2" s="81">
        <v>44953</v>
      </c>
      <c r="D2" s="81">
        <v>44957</v>
      </c>
      <c r="E2" s="81">
        <v>44964</v>
      </c>
      <c r="F2" s="81">
        <v>44970</v>
      </c>
      <c r="G2" s="81">
        <v>44992</v>
      </c>
    </row>
    <row r="3" spans="2:7">
      <c r="B3" s="78" t="s">
        <v>52</v>
      </c>
      <c r="C3" s="79">
        <f>79997062.37</f>
        <v>79997062.370000005</v>
      </c>
      <c r="D3" s="80">
        <f>'31.01'!H39</f>
        <v>79823619.420000002</v>
      </c>
      <c r="E3" s="80">
        <f>'07.02'!I39</f>
        <v>81716638.519999996</v>
      </c>
      <c r="F3" s="80">
        <f>'13.02'!J39</f>
        <v>81588354.813999996</v>
      </c>
      <c r="G3" s="108">
        <f>'07.03'!K39</f>
        <v>83216909.439999998</v>
      </c>
    </row>
    <row r="4" spans="2:7">
      <c r="B4" s="78" t="s">
        <v>67</v>
      </c>
      <c r="C4" s="79">
        <f>9999942.8</f>
        <v>9999942.8000000007</v>
      </c>
      <c r="D4" s="79">
        <f>'31.01'!N46</f>
        <v>9588278.4000000004</v>
      </c>
      <c r="E4" s="80">
        <f>'07.02'!O46</f>
        <v>9607129.1999999993</v>
      </c>
      <c r="F4" s="79">
        <f>'13.02'!Q46</f>
        <v>9548018</v>
      </c>
      <c r="G4" s="107">
        <f>'07.03'!S46</f>
        <v>9259680.4000000004</v>
      </c>
    </row>
    <row r="5" spans="2:7">
      <c r="B5" s="78" t="s">
        <v>39</v>
      </c>
      <c r="C5" s="79">
        <f>100000000-SUM(C3:C4)</f>
        <v>10002994.829999998</v>
      </c>
      <c r="D5" s="79">
        <f>C5</f>
        <v>10002994.829999998</v>
      </c>
      <c r="E5" s="79">
        <f>D5</f>
        <v>10002994.829999998</v>
      </c>
      <c r="F5" s="107">
        <f>D5</f>
        <v>10002994.829999998</v>
      </c>
      <c r="G5" s="107">
        <f>D5</f>
        <v>10002994.829999998</v>
      </c>
    </row>
    <row r="6" spans="2:7">
      <c r="B6" s="109" t="s">
        <v>69</v>
      </c>
      <c r="C6" s="79">
        <f t="shared" ref="C6:G6" si="0">SUM(C3:C5)</f>
        <v>100000000</v>
      </c>
      <c r="D6" s="80">
        <f t="shared" si="0"/>
        <v>99414892.650000006</v>
      </c>
      <c r="E6" s="80">
        <f t="shared" si="0"/>
        <v>101326762.55</v>
      </c>
      <c r="F6" s="108">
        <f t="shared" si="0"/>
        <v>101139367.64399999</v>
      </c>
      <c r="G6" s="108">
        <f t="shared" si="0"/>
        <v>102479584.67</v>
      </c>
    </row>
    <row r="7" spans="2:7">
      <c r="B7" s="134" t="s">
        <v>95</v>
      </c>
      <c r="D7" s="129">
        <f t="shared" ref="D7:E7" si="1">(D6-C6)/C6</f>
        <v>-5.8510734999999408E-3</v>
      </c>
      <c r="E7" s="130">
        <f t="shared" si="1"/>
        <v>1.9231222295143634E-2</v>
      </c>
      <c r="F7" s="129">
        <f>(F6-E6)/E6</f>
        <v>-1.8494117574074534E-3</v>
      </c>
      <c r="G7" s="131">
        <f>(G6-F6)/F6</f>
        <v>1.3251190483189809E-2</v>
      </c>
    </row>
    <row r="8" spans="2:7">
      <c r="B8" s="141" t="s">
        <v>78</v>
      </c>
      <c r="C8" s="142"/>
      <c r="D8" s="142"/>
      <c r="E8" s="142"/>
      <c r="F8" s="142"/>
      <c r="G8" s="143"/>
    </row>
    <row r="9" spans="2:7">
      <c r="B9" s="78" t="s">
        <v>94</v>
      </c>
      <c r="C9" s="12">
        <v>6900.8890000000001</v>
      </c>
      <c r="D9" s="12">
        <v>7575.0897999999997</v>
      </c>
      <c r="E9" s="12">
        <v>7145.8397999999997</v>
      </c>
      <c r="F9" s="12">
        <v>7147.48</v>
      </c>
      <c r="G9" s="12">
        <v>7355.8701000000001</v>
      </c>
    </row>
    <row r="10" spans="2:7">
      <c r="B10" s="78" t="s">
        <v>99</v>
      </c>
      <c r="C10" s="1"/>
      <c r="D10" s="132">
        <f>(D9-C9)/C9</f>
        <v>9.769767344468222E-2</v>
      </c>
      <c r="E10" s="133">
        <f t="shared" ref="E10:G10" si="2">(E9-D9)/D9</f>
        <v>-5.6665994903453157E-2</v>
      </c>
      <c r="F10" s="132">
        <f t="shared" si="2"/>
        <v>2.295321537994488E-4</v>
      </c>
      <c r="G10" s="132">
        <f t="shared" si="2"/>
        <v>2.9155744402222957E-2</v>
      </c>
    </row>
    <row r="11" spans="2:7">
      <c r="B11" s="78" t="s">
        <v>100</v>
      </c>
      <c r="C11" s="1"/>
      <c r="D11" s="1" t="s">
        <v>96</v>
      </c>
      <c r="E11" s="1" t="s">
        <v>97</v>
      </c>
      <c r="F11" s="1" t="s">
        <v>98</v>
      </c>
      <c r="G11" s="83" t="s">
        <v>98</v>
      </c>
    </row>
    <row r="13" spans="2:7">
      <c r="B13" s="78" t="s">
        <v>101</v>
      </c>
      <c r="C13" s="135">
        <f>(G9-C9)/C9</f>
        <v>6.5930795293186129E-2</v>
      </c>
    </row>
    <row r="14" spans="2:7">
      <c r="B14" s="78" t="s">
        <v>102</v>
      </c>
      <c r="C14" s="136">
        <f>(G6-C6)/C6</f>
        <v>2.479584670000002E-2</v>
      </c>
    </row>
  </sheetData>
  <mergeCells count="2">
    <mergeCell ref="B8:G8"/>
    <mergeCell ref="C1:G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Contexte</vt:lpstr>
      <vt:lpstr>31.01</vt:lpstr>
      <vt:lpstr>07.02</vt:lpstr>
      <vt:lpstr>13.02</vt:lpstr>
      <vt:lpstr>07.03</vt:lpstr>
      <vt:lpstr>Composant du portefeuile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CLAVERIE LEBA</dc:creator>
  <cp:lastModifiedBy>MA46953</cp:lastModifiedBy>
  <dcterms:created xsi:type="dcterms:W3CDTF">2022-06-23T12:33:16Z</dcterms:created>
  <dcterms:modified xsi:type="dcterms:W3CDTF">2026-04-01T22:34:19Z</dcterms:modified>
</cp:coreProperties>
</file>