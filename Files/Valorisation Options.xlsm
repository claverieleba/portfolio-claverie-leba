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drawings/drawing3.xml" ContentType="application/vnd.openxmlformats-officedocument.drawing+xml"/>
  <Override PartName="/xl/embeddings/oleObject7.bin" ContentType="application/vnd.openxmlformats-officedocument.oleObject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lave\Desktop\MON PORTFOLIO\"/>
    </mc:Choice>
  </mc:AlternateContent>
  <xr:revisionPtr revIDLastSave="0" documentId="13_ncr:1_{E3D67BD5-3180-4E47-9AD1-C90CBA3557FD}" xr6:coauthVersionLast="47" xr6:coauthVersionMax="47" xr10:uidLastSave="{00000000-0000-0000-0000-000000000000}"/>
  <bookViews>
    <workbookView xWindow="0" yWindow="360" windowWidth="22780" windowHeight="14540" xr2:uid="{BAE4785E-3334-4D5D-92B2-83F5E111CBD9}"/>
  </bookViews>
  <sheets>
    <sheet name="Definition" sheetId="2" r:id="rId1"/>
    <sheet name="B&amp;S" sheetId="1" r:id="rId2"/>
    <sheet name="Monte Carlo" sheetId="4" r:id="rId3"/>
    <sheet name="RESULTATS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" i="4"/>
  <c r="D3" i="5"/>
  <c r="E3" i="5"/>
  <c r="K32" i="4"/>
  <c r="K33" i="4" s="1"/>
  <c r="K24" i="4"/>
  <c r="K26" i="4" s="1"/>
  <c r="A4" i="4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C3" i="4" l="1"/>
  <c r="C4" i="4" s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C172" i="4" s="1"/>
  <c r="C173" i="4" s="1"/>
  <c r="C174" i="4" s="1"/>
  <c r="C175" i="4" s="1"/>
  <c r="C176" i="4" s="1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D3" i="4"/>
  <c r="D4" i="4" s="1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D52" i="4" s="1"/>
  <c r="D53" i="4" s="1"/>
  <c r="D54" i="4" s="1"/>
  <c r="D55" i="4" s="1"/>
  <c r="D56" i="4" s="1"/>
  <c r="D57" i="4" s="1"/>
  <c r="D58" i="4" s="1"/>
  <c r="D59" i="4" s="1"/>
  <c r="D60" i="4" s="1"/>
  <c r="D61" i="4" s="1"/>
  <c r="D62" i="4" s="1"/>
  <c r="D63" i="4" s="1"/>
  <c r="D64" i="4" s="1"/>
  <c r="D65" i="4" s="1"/>
  <c r="D66" i="4" s="1"/>
  <c r="D67" i="4" s="1"/>
  <c r="D68" i="4" s="1"/>
  <c r="D69" i="4" s="1"/>
  <c r="D70" i="4" s="1"/>
  <c r="D71" i="4" s="1"/>
  <c r="D72" i="4" s="1"/>
  <c r="D73" i="4" s="1"/>
  <c r="D74" i="4" s="1"/>
  <c r="D75" i="4" s="1"/>
  <c r="D76" i="4" s="1"/>
  <c r="D77" i="4" s="1"/>
  <c r="D78" i="4" s="1"/>
  <c r="D79" i="4" s="1"/>
  <c r="D80" i="4" s="1"/>
  <c r="D81" i="4" s="1"/>
  <c r="D82" i="4" s="1"/>
  <c r="D83" i="4" s="1"/>
  <c r="D84" i="4" s="1"/>
  <c r="D85" i="4" s="1"/>
  <c r="D86" i="4" s="1"/>
  <c r="D87" i="4" s="1"/>
  <c r="D88" i="4" s="1"/>
  <c r="D89" i="4" s="1"/>
  <c r="D90" i="4" s="1"/>
  <c r="D91" i="4" s="1"/>
  <c r="D92" i="4" s="1"/>
  <c r="D93" i="4" s="1"/>
  <c r="D94" i="4" s="1"/>
  <c r="D95" i="4" s="1"/>
  <c r="D96" i="4" s="1"/>
  <c r="D97" i="4" s="1"/>
  <c r="D98" i="4" s="1"/>
  <c r="D99" i="4" s="1"/>
  <c r="D100" i="4" s="1"/>
  <c r="D101" i="4" s="1"/>
  <c r="D102" i="4" s="1"/>
  <c r="D103" i="4" s="1"/>
  <c r="D104" i="4" s="1"/>
  <c r="D105" i="4" s="1"/>
  <c r="D106" i="4" s="1"/>
  <c r="D107" i="4" s="1"/>
  <c r="D108" i="4" s="1"/>
  <c r="D109" i="4" s="1"/>
  <c r="D110" i="4" s="1"/>
  <c r="D111" i="4" s="1"/>
  <c r="D112" i="4" s="1"/>
  <c r="D113" i="4" s="1"/>
  <c r="D114" i="4" s="1"/>
  <c r="D115" i="4" s="1"/>
  <c r="D116" i="4" s="1"/>
  <c r="D117" i="4" s="1"/>
  <c r="D118" i="4" s="1"/>
  <c r="D119" i="4" s="1"/>
  <c r="D120" i="4" s="1"/>
  <c r="D121" i="4" s="1"/>
  <c r="D122" i="4" s="1"/>
  <c r="D123" i="4" s="1"/>
  <c r="D124" i="4" s="1"/>
  <c r="D125" i="4" s="1"/>
  <c r="D126" i="4" s="1"/>
  <c r="D127" i="4" s="1"/>
  <c r="D128" i="4" s="1"/>
  <c r="D129" i="4" s="1"/>
  <c r="D130" i="4" s="1"/>
  <c r="D131" i="4" s="1"/>
  <c r="D132" i="4" s="1"/>
  <c r="D133" i="4" s="1"/>
  <c r="D134" i="4" s="1"/>
  <c r="D135" i="4" s="1"/>
  <c r="D136" i="4" s="1"/>
  <c r="D137" i="4" s="1"/>
  <c r="D138" i="4" s="1"/>
  <c r="D139" i="4" s="1"/>
  <c r="D140" i="4" s="1"/>
  <c r="D141" i="4" s="1"/>
  <c r="D142" i="4" s="1"/>
  <c r="D143" i="4" s="1"/>
  <c r="D144" i="4" s="1"/>
  <c r="D145" i="4" s="1"/>
  <c r="D146" i="4" s="1"/>
  <c r="D147" i="4" s="1"/>
  <c r="D148" i="4" s="1"/>
  <c r="D149" i="4" s="1"/>
  <c r="D150" i="4" s="1"/>
  <c r="D151" i="4" s="1"/>
  <c r="D152" i="4" s="1"/>
  <c r="D153" i="4" s="1"/>
  <c r="D154" i="4" s="1"/>
  <c r="D155" i="4" s="1"/>
  <c r="D156" i="4" s="1"/>
  <c r="D157" i="4" s="1"/>
  <c r="D158" i="4" s="1"/>
  <c r="D159" i="4" s="1"/>
  <c r="D160" i="4" s="1"/>
  <c r="D161" i="4" s="1"/>
  <c r="D162" i="4" s="1"/>
  <c r="D163" i="4" s="1"/>
  <c r="D164" i="4" s="1"/>
  <c r="D165" i="4" s="1"/>
  <c r="D166" i="4" s="1"/>
  <c r="D167" i="4" s="1"/>
  <c r="D168" i="4" s="1"/>
  <c r="D169" i="4" s="1"/>
  <c r="D170" i="4" s="1"/>
  <c r="D171" i="4" s="1"/>
  <c r="D172" i="4" s="1"/>
  <c r="D173" i="4" s="1"/>
  <c r="D174" i="4" s="1"/>
  <c r="D175" i="4" s="1"/>
  <c r="D176" i="4" s="1"/>
  <c r="D177" i="4" s="1"/>
  <c r="D178" i="4" s="1"/>
  <c r="D179" i="4" s="1"/>
  <c r="D180" i="4" s="1"/>
  <c r="D181" i="4" s="1"/>
  <c r="D182" i="4" s="1"/>
  <c r="D183" i="4" s="1"/>
  <c r="D184" i="4" s="1"/>
  <c r="D185" i="4" s="1"/>
  <c r="D186" i="4" s="1"/>
  <c r="D187" i="4" s="1"/>
  <c r="D188" i="4" s="1"/>
  <c r="D189" i="4" s="1"/>
  <c r="D190" i="4" s="1"/>
  <c r="D191" i="4" s="1"/>
  <c r="D192" i="4" s="1"/>
  <c r="D193" i="4" s="1"/>
  <c r="D194" i="4" s="1"/>
  <c r="D195" i="4" s="1"/>
  <c r="D196" i="4" s="1"/>
  <c r="D197" i="4" s="1"/>
  <c r="D198" i="4" s="1"/>
  <c r="D199" i="4" s="1"/>
  <c r="D200" i="4" s="1"/>
  <c r="D201" i="4" s="1"/>
  <c r="D202" i="4" s="1"/>
  <c r="E3" i="4"/>
  <c r="E4" i="4" s="1"/>
  <c r="E5" i="4" s="1"/>
  <c r="E6" i="4" s="1"/>
  <c r="E7" i="4" s="1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19" i="4" s="1"/>
  <c r="E20" i="4" s="1"/>
  <c r="E21" i="4" s="1"/>
  <c r="E22" i="4" s="1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E81" i="4" s="1"/>
  <c r="E82" i="4" s="1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E98" i="4" s="1"/>
  <c r="E99" i="4" s="1"/>
  <c r="E100" i="4" s="1"/>
  <c r="E101" i="4" s="1"/>
  <c r="E102" i="4" s="1"/>
  <c r="E103" i="4" s="1"/>
  <c r="E104" i="4" s="1"/>
  <c r="E105" i="4" s="1"/>
  <c r="E106" i="4" s="1"/>
  <c r="E107" i="4" s="1"/>
  <c r="E108" i="4" s="1"/>
  <c r="E109" i="4" s="1"/>
  <c r="E110" i="4" s="1"/>
  <c r="E111" i="4" s="1"/>
  <c r="E112" i="4" s="1"/>
  <c r="E113" i="4" s="1"/>
  <c r="E114" i="4" s="1"/>
  <c r="E115" i="4" s="1"/>
  <c r="E116" i="4" s="1"/>
  <c r="E117" i="4" s="1"/>
  <c r="E118" i="4" s="1"/>
  <c r="E119" i="4" s="1"/>
  <c r="E120" i="4" s="1"/>
  <c r="E121" i="4" s="1"/>
  <c r="E122" i="4" s="1"/>
  <c r="E123" i="4" s="1"/>
  <c r="E124" i="4" s="1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E141" i="4" s="1"/>
  <c r="E142" i="4" s="1"/>
  <c r="E143" i="4" s="1"/>
  <c r="E144" i="4" s="1"/>
  <c r="E145" i="4" s="1"/>
  <c r="E146" i="4" s="1"/>
  <c r="E147" i="4" s="1"/>
  <c r="E148" i="4" s="1"/>
  <c r="E149" i="4" s="1"/>
  <c r="E150" i="4" s="1"/>
  <c r="E151" i="4" s="1"/>
  <c r="E152" i="4" s="1"/>
  <c r="E153" i="4" s="1"/>
  <c r="E154" i="4" s="1"/>
  <c r="E155" i="4" s="1"/>
  <c r="E156" i="4" s="1"/>
  <c r="E157" i="4" s="1"/>
  <c r="E158" i="4" s="1"/>
  <c r="E159" i="4" s="1"/>
  <c r="E160" i="4" s="1"/>
  <c r="E161" i="4" s="1"/>
  <c r="E162" i="4" s="1"/>
  <c r="E163" i="4" s="1"/>
  <c r="E164" i="4" s="1"/>
  <c r="E165" i="4" s="1"/>
  <c r="E166" i="4" s="1"/>
  <c r="E167" i="4" s="1"/>
  <c r="E168" i="4" s="1"/>
  <c r="E169" i="4" s="1"/>
  <c r="E170" i="4" s="1"/>
  <c r="E171" i="4" s="1"/>
  <c r="E172" i="4" s="1"/>
  <c r="E173" i="4" s="1"/>
  <c r="E174" i="4" s="1"/>
  <c r="E175" i="4" s="1"/>
  <c r="E176" i="4" s="1"/>
  <c r="E177" i="4" s="1"/>
  <c r="E178" i="4" s="1"/>
  <c r="E179" i="4" s="1"/>
  <c r="E180" i="4" s="1"/>
  <c r="E181" i="4" s="1"/>
  <c r="E182" i="4" s="1"/>
  <c r="E183" i="4" s="1"/>
  <c r="E184" i="4" s="1"/>
  <c r="E185" i="4" s="1"/>
  <c r="E186" i="4" s="1"/>
  <c r="E187" i="4" s="1"/>
  <c r="E188" i="4" s="1"/>
  <c r="E189" i="4" s="1"/>
  <c r="E190" i="4" s="1"/>
  <c r="E191" i="4" s="1"/>
  <c r="E192" i="4" s="1"/>
  <c r="E193" i="4" s="1"/>
  <c r="E194" i="4" s="1"/>
  <c r="E195" i="4" s="1"/>
  <c r="E196" i="4" s="1"/>
  <c r="E197" i="4" s="1"/>
  <c r="E198" i="4" s="1"/>
  <c r="E199" i="4" s="1"/>
  <c r="E200" i="4" s="1"/>
  <c r="E201" i="4" s="1"/>
  <c r="E202" i="4" s="1"/>
  <c r="F3" i="4"/>
  <c r="F4" i="4" s="1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F103" i="4" s="1"/>
  <c r="F104" i="4" s="1"/>
  <c r="F105" i="4" s="1"/>
  <c r="F106" i="4" s="1"/>
  <c r="F107" i="4" s="1"/>
  <c r="F108" i="4" s="1"/>
  <c r="F109" i="4" s="1"/>
  <c r="F110" i="4" s="1"/>
  <c r="F111" i="4" s="1"/>
  <c r="F112" i="4" s="1"/>
  <c r="F113" i="4" s="1"/>
  <c r="F114" i="4" s="1"/>
  <c r="F115" i="4" s="1"/>
  <c r="F116" i="4" s="1"/>
  <c r="F117" i="4" s="1"/>
  <c r="F118" i="4" s="1"/>
  <c r="F119" i="4" s="1"/>
  <c r="F120" i="4" s="1"/>
  <c r="F121" i="4" s="1"/>
  <c r="F122" i="4" s="1"/>
  <c r="F123" i="4" s="1"/>
  <c r="F124" i="4" s="1"/>
  <c r="F125" i="4" s="1"/>
  <c r="F126" i="4" s="1"/>
  <c r="F127" i="4" s="1"/>
  <c r="F128" i="4" s="1"/>
  <c r="F129" i="4" s="1"/>
  <c r="F130" i="4" s="1"/>
  <c r="F131" i="4" s="1"/>
  <c r="F132" i="4" s="1"/>
  <c r="F133" i="4" s="1"/>
  <c r="F134" i="4" s="1"/>
  <c r="F135" i="4" s="1"/>
  <c r="F136" i="4" s="1"/>
  <c r="F137" i="4" s="1"/>
  <c r="F138" i="4" s="1"/>
  <c r="F139" i="4" s="1"/>
  <c r="F140" i="4" s="1"/>
  <c r="F141" i="4" s="1"/>
  <c r="F142" i="4" s="1"/>
  <c r="F143" i="4" s="1"/>
  <c r="F144" i="4" s="1"/>
  <c r="F145" i="4" s="1"/>
  <c r="F146" i="4" s="1"/>
  <c r="F147" i="4" s="1"/>
  <c r="F148" i="4" s="1"/>
  <c r="F149" i="4" s="1"/>
  <c r="F150" i="4" s="1"/>
  <c r="F151" i="4" s="1"/>
  <c r="F152" i="4" s="1"/>
  <c r="F153" i="4" s="1"/>
  <c r="F154" i="4" s="1"/>
  <c r="F155" i="4" s="1"/>
  <c r="F156" i="4" s="1"/>
  <c r="F157" i="4" s="1"/>
  <c r="F158" i="4" s="1"/>
  <c r="F159" i="4" s="1"/>
  <c r="F160" i="4" s="1"/>
  <c r="F161" i="4" s="1"/>
  <c r="F162" i="4" s="1"/>
  <c r="F163" i="4" s="1"/>
  <c r="F164" i="4" s="1"/>
  <c r="F165" i="4" s="1"/>
  <c r="F166" i="4" s="1"/>
  <c r="F167" i="4" s="1"/>
  <c r="F168" i="4" s="1"/>
  <c r="F169" i="4" s="1"/>
  <c r="F170" i="4" s="1"/>
  <c r="F171" i="4" s="1"/>
  <c r="F172" i="4" s="1"/>
  <c r="F173" i="4" s="1"/>
  <c r="F174" i="4" s="1"/>
  <c r="F175" i="4" s="1"/>
  <c r="F176" i="4" s="1"/>
  <c r="F177" i="4" s="1"/>
  <c r="F178" i="4" s="1"/>
  <c r="F179" i="4" s="1"/>
  <c r="F180" i="4" s="1"/>
  <c r="F181" i="4" s="1"/>
  <c r="F182" i="4" s="1"/>
  <c r="F183" i="4" s="1"/>
  <c r="F184" i="4" s="1"/>
  <c r="F185" i="4" s="1"/>
  <c r="F186" i="4" s="1"/>
  <c r="F187" i="4" s="1"/>
  <c r="F188" i="4" s="1"/>
  <c r="F189" i="4" s="1"/>
  <c r="F190" i="4" s="1"/>
  <c r="F191" i="4" s="1"/>
  <c r="F192" i="4" s="1"/>
  <c r="F193" i="4" s="1"/>
  <c r="F194" i="4" s="1"/>
  <c r="F195" i="4" s="1"/>
  <c r="F196" i="4" s="1"/>
  <c r="F197" i="4" s="1"/>
  <c r="F198" i="4" s="1"/>
  <c r="F199" i="4" s="1"/>
  <c r="F200" i="4" s="1"/>
  <c r="F201" i="4" s="1"/>
  <c r="F202" i="4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144" i="4" s="1"/>
  <c r="B145" i="4" s="1"/>
  <c r="B146" i="4" s="1"/>
  <c r="B147" i="4" s="1"/>
  <c r="B148" i="4" s="1"/>
  <c r="B149" i="4" s="1"/>
  <c r="B150" i="4" s="1"/>
  <c r="B151" i="4" s="1"/>
  <c r="B152" i="4" s="1"/>
  <c r="B153" i="4" s="1"/>
  <c r="B154" i="4" s="1"/>
  <c r="B155" i="4" s="1"/>
  <c r="B156" i="4" s="1"/>
  <c r="B157" i="4" s="1"/>
  <c r="B158" i="4" s="1"/>
  <c r="B159" i="4" s="1"/>
  <c r="B160" i="4" s="1"/>
  <c r="B161" i="4" s="1"/>
  <c r="B162" i="4" s="1"/>
  <c r="B163" i="4" s="1"/>
  <c r="B164" i="4" s="1"/>
  <c r="B165" i="4" s="1"/>
  <c r="B166" i="4" s="1"/>
  <c r="B167" i="4" s="1"/>
  <c r="B168" i="4" s="1"/>
  <c r="B169" i="4" s="1"/>
  <c r="B170" i="4" s="1"/>
  <c r="B171" i="4" s="1"/>
  <c r="B172" i="4" s="1"/>
  <c r="B173" i="4" s="1"/>
  <c r="B174" i="4" s="1"/>
  <c r="B175" i="4" s="1"/>
  <c r="B176" i="4" s="1"/>
  <c r="B177" i="4" s="1"/>
  <c r="B178" i="4" s="1"/>
  <c r="B179" i="4" s="1"/>
  <c r="B180" i="4" s="1"/>
  <c r="B181" i="4" s="1"/>
  <c r="B182" i="4" s="1"/>
  <c r="B183" i="4" s="1"/>
  <c r="B184" i="4" s="1"/>
  <c r="B185" i="4" s="1"/>
  <c r="B186" i="4" s="1"/>
  <c r="B187" i="4" s="1"/>
  <c r="B188" i="4" s="1"/>
  <c r="B189" i="4" s="1"/>
  <c r="B190" i="4" s="1"/>
  <c r="B191" i="4" s="1"/>
  <c r="B192" i="4" s="1"/>
  <c r="B193" i="4" s="1"/>
  <c r="B194" i="4" s="1"/>
  <c r="B195" i="4" s="1"/>
  <c r="B196" i="4" s="1"/>
  <c r="B197" i="4" s="1"/>
  <c r="B198" i="4" s="1"/>
  <c r="B199" i="4" s="1"/>
  <c r="B200" i="4" s="1"/>
  <c r="B201" i="4" s="1"/>
  <c r="B202" i="4" s="1"/>
  <c r="E205" i="4" l="1"/>
  <c r="E212" i="4"/>
  <c r="D205" i="4"/>
  <c r="D212" i="4"/>
  <c r="F205" i="4"/>
  <c r="F212" i="4"/>
  <c r="C205" i="4"/>
  <c r="C212" i="4"/>
  <c r="B205" i="4"/>
  <c r="B212" i="4"/>
  <c r="C207" i="4" l="1"/>
  <c r="D4" i="5" s="1"/>
  <c r="D5" i="5" s="1"/>
  <c r="C214" i="4"/>
  <c r="E4" i="5" l="1"/>
  <c r="E5" i="5" s="1"/>
  <c r="K9" i="1" l="1"/>
  <c r="F53" i="2"/>
  <c r="E53" i="2"/>
  <c r="E54" i="2" s="1"/>
  <c r="F52" i="2"/>
  <c r="E51" i="2"/>
  <c r="F51" i="2" s="1"/>
  <c r="A51" i="2"/>
  <c r="A52" i="2" s="1"/>
  <c r="E50" i="2"/>
  <c r="F50" i="2" s="1"/>
  <c r="A50" i="2"/>
  <c r="B50" i="2" s="1"/>
  <c r="B49" i="2"/>
  <c r="A49" i="2"/>
  <c r="B48" i="2"/>
  <c r="C27" i="2"/>
  <c r="K25" i="1" a="1"/>
  <c r="K23" i="1" a="1"/>
  <c r="K25" i="1" l="1"/>
  <c r="K23" i="1"/>
  <c r="A53" i="2"/>
  <c r="B52" i="2"/>
  <c r="F54" i="2"/>
  <c r="E55" i="2"/>
  <c r="E49" i="2"/>
  <c r="B51" i="2"/>
  <c r="E48" i="2" l="1"/>
  <c r="F48" i="2" s="1"/>
  <c r="F49" i="2"/>
  <c r="E56" i="2"/>
  <c r="F55" i="2"/>
  <c r="B53" i="2"/>
  <c r="A54" i="2"/>
  <c r="A55" i="2" l="1"/>
  <c r="B54" i="2"/>
  <c r="E57" i="2"/>
  <c r="F56" i="2"/>
  <c r="F57" i="2" l="1"/>
  <c r="E58" i="2"/>
  <c r="B55" i="2"/>
  <c r="A56" i="2"/>
  <c r="E59" i="2" l="1"/>
  <c r="F58" i="2"/>
  <c r="B56" i="2"/>
  <c r="A57" i="2"/>
  <c r="E60" i="2" l="1"/>
  <c r="F59" i="2"/>
  <c r="A58" i="2"/>
  <c r="B57" i="2"/>
  <c r="B58" i="2" l="1"/>
  <c r="A59" i="2"/>
  <c r="F60" i="2"/>
  <c r="E61" i="2"/>
  <c r="B59" i="2" l="1"/>
  <c r="A60" i="2"/>
  <c r="E62" i="2"/>
  <c r="F61" i="2"/>
  <c r="E63" i="2" l="1"/>
  <c r="F62" i="2"/>
  <c r="A61" i="2"/>
  <c r="B60" i="2"/>
  <c r="B61" i="2" l="1"/>
  <c r="A62" i="2"/>
  <c r="F63" i="2"/>
  <c r="E64" i="2"/>
  <c r="E65" i="2" l="1"/>
  <c r="F64" i="2"/>
  <c r="B62" i="2"/>
  <c r="A63" i="2"/>
  <c r="A64" i="2" l="1"/>
  <c r="B63" i="2"/>
  <c r="E66" i="2"/>
  <c r="F65" i="2"/>
  <c r="F66" i="2" l="1"/>
  <c r="E67" i="2"/>
  <c r="B64" i="2"/>
  <c r="A65" i="2"/>
  <c r="E68" i="2" l="1"/>
  <c r="F67" i="2"/>
  <c r="B65" i="2"/>
  <c r="A66" i="2"/>
  <c r="A67" i="2" l="1"/>
  <c r="B66" i="2"/>
  <c r="E69" i="2"/>
  <c r="F68" i="2"/>
  <c r="F69" i="2" l="1"/>
  <c r="E70" i="2"/>
  <c r="B67" i="2"/>
  <c r="A68" i="2"/>
  <c r="B68" i="2" l="1"/>
  <c r="A69" i="2"/>
  <c r="E71" i="2"/>
  <c r="F70" i="2"/>
  <c r="E72" i="2" l="1"/>
  <c r="F71" i="2"/>
  <c r="A70" i="2"/>
  <c r="B69" i="2"/>
  <c r="B70" i="2" l="1"/>
  <c r="A71" i="2"/>
  <c r="F72" i="2"/>
  <c r="E73" i="2"/>
  <c r="E74" i="2" l="1"/>
  <c r="F73" i="2"/>
  <c r="B71" i="2"/>
  <c r="A72" i="2"/>
  <c r="A73" i="2" l="1"/>
  <c r="B72" i="2"/>
  <c r="E75" i="2"/>
  <c r="F74" i="2"/>
  <c r="E76" i="2" l="1"/>
  <c r="F76" i="2" s="1"/>
  <c r="F75" i="2"/>
  <c r="B73" i="2"/>
  <c r="A74" i="2"/>
  <c r="A75" i="2" l="1"/>
  <c r="B74" i="2"/>
  <c r="A76" i="2" l="1"/>
  <c r="B76" i="2" s="1"/>
  <c r="B7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<sst xmlns="http://schemas.openxmlformats.org/spreadsheetml/2006/main" count="117" uniqueCount="102">
  <si>
    <t>Définition :</t>
  </si>
  <si>
    <t>L'option est un contrat permettant à son détenteur d'acheter ou de vendre une quantité déterminé d'un sous-jacent (actions, obligations, matières premières, etc.)</t>
  </si>
  <si>
    <t>à un prix déterminée à l'avance.</t>
  </si>
  <si>
    <t>L'option est donc un outil de gestion du risque, il s'agit d'un produit absolument fondamental en finance. Ces contrats sont apparus au départ pour assurer les traders</t>
  </si>
  <si>
    <t>en matières premières qui prenaient des risques considérables que refusaient de couvrir les compagnies d'assurance.</t>
  </si>
  <si>
    <t>Paramètres d'une option :</t>
  </si>
  <si>
    <t xml:space="preserve">Sens de l'option : </t>
  </si>
  <si>
    <t>call (possibilité d'acheter) ou put (possibilité de vendre)</t>
  </si>
  <si>
    <t>Type de l'option :</t>
  </si>
  <si>
    <t>américaine (exercice à tout moment) ou européene (exercice à l'échéance seulement)</t>
  </si>
  <si>
    <t>Prix d'exercice :</t>
  </si>
  <si>
    <t>prix d'achat ou de vente garanti à l'échéance</t>
  </si>
  <si>
    <t xml:space="preserve">Échéance : </t>
  </si>
  <si>
    <t>date d'expiration de l'option</t>
  </si>
  <si>
    <t>Taille du contrat :</t>
  </si>
  <si>
    <t>quantité de sous-jacent sur laquelle porte le contrat d'option</t>
  </si>
  <si>
    <t>Prime de l'option :</t>
  </si>
  <si>
    <t>prix à payer par unité de sous-jacent pour acheter le contrat de l'option,</t>
  </si>
  <si>
    <t>c'est ce qui est coté sur les marchés organisés.</t>
  </si>
  <si>
    <t xml:space="preserve">Pour avoir le prix total à débourser il faut faire le calcul suivant : </t>
  </si>
  <si>
    <r>
      <t xml:space="preserve">Taille du contrat </t>
    </r>
    <r>
      <rPr>
        <sz val="11"/>
        <color theme="1"/>
        <rFont val="Calibri"/>
        <family val="2"/>
      </rPr>
      <t>×</t>
    </r>
    <r>
      <rPr>
        <sz val="10"/>
        <rFont val="Arial"/>
        <family val="2"/>
      </rPr>
      <t xml:space="preserve"> Prime de l'option</t>
    </r>
  </si>
  <si>
    <t>Exemple :</t>
  </si>
  <si>
    <t>Le 18/05/2020 le call sur l'action ILIAD cote 3.45 €.</t>
  </si>
  <si>
    <t>Le contrat porte sur 100 titres ILIAD</t>
  </si>
  <si>
    <t xml:space="preserve">Un investisseur qui désire protéger un portefeuille de 100 titres devra débourser une prime totale de </t>
  </si>
  <si>
    <t>100 × 3.45 =</t>
  </si>
  <si>
    <t>Valeur à l'échéance d'un contrat d'option :</t>
  </si>
  <si>
    <t>Achat d'un call (on se protège contre une hausse de prix)</t>
  </si>
  <si>
    <t xml:space="preserve">Pour un call, la valeur à l'échéance du contrat pour une unité de sous-jacent est : </t>
  </si>
  <si>
    <r>
      <t>max(S</t>
    </r>
    <r>
      <rPr>
        <vertAlign val="subscript"/>
        <sz val="11"/>
        <color theme="1"/>
        <rFont val="Aptos Narrow"/>
        <family val="2"/>
        <scheme val="minor"/>
      </rPr>
      <t>T</t>
    </r>
    <r>
      <rPr>
        <sz val="10"/>
        <rFont val="Arial"/>
        <family val="2"/>
      </rPr>
      <t xml:space="preserve"> - K, 0) où S</t>
    </r>
    <r>
      <rPr>
        <vertAlign val="subscript"/>
        <sz val="11"/>
        <color theme="1"/>
        <rFont val="Aptos Narrow"/>
        <family val="2"/>
        <scheme val="minor"/>
      </rPr>
      <t>T</t>
    </r>
    <r>
      <rPr>
        <sz val="10"/>
        <rFont val="Arial"/>
        <family val="2"/>
      </rPr>
      <t xml:space="preserve"> est la valeur du sous-jacent à l'échéance et K le prix d'exercice</t>
    </r>
  </si>
  <si>
    <t>Le bilan financier total de l'opération pour une unité de sous-jacent est :</t>
  </si>
  <si>
    <r>
      <t>max(S</t>
    </r>
    <r>
      <rPr>
        <vertAlign val="subscript"/>
        <sz val="11"/>
        <color theme="1"/>
        <rFont val="Aptos Narrow"/>
        <family val="2"/>
        <scheme val="minor"/>
      </rPr>
      <t>T</t>
    </r>
    <r>
      <rPr>
        <sz val="10"/>
        <rFont val="Arial"/>
        <family val="2"/>
      </rPr>
      <t xml:space="preserve"> - K, 0) - p où p désigne le montant de la prime payée</t>
    </r>
  </si>
  <si>
    <t xml:space="preserve">Le détenteur d'une option d'achat aura toujours intérêt à exercer dés que : </t>
  </si>
  <si>
    <r>
      <t>S</t>
    </r>
    <r>
      <rPr>
        <vertAlign val="subscript"/>
        <sz val="11"/>
        <color theme="1"/>
        <rFont val="Aptos Narrow"/>
        <family val="2"/>
        <scheme val="minor"/>
      </rPr>
      <t>T</t>
    </r>
    <r>
      <rPr>
        <sz val="10"/>
        <rFont val="Arial"/>
        <family val="2"/>
      </rPr>
      <t xml:space="preserve"> &gt; K</t>
    </r>
  </si>
  <si>
    <t>Achat d'un put (on se protège contre une baisse de prix)</t>
  </si>
  <si>
    <t xml:space="preserve">Pour un put, la valeur à l'échéance du contrat pour une unité de sous-jacent est : </t>
  </si>
  <si>
    <r>
      <t>max(K - S</t>
    </r>
    <r>
      <rPr>
        <vertAlign val="subscript"/>
        <sz val="11"/>
        <color theme="1"/>
        <rFont val="Aptos Narrow"/>
        <family val="2"/>
        <scheme val="minor"/>
      </rPr>
      <t>T</t>
    </r>
    <r>
      <rPr>
        <sz val="10"/>
        <rFont val="Arial"/>
        <family val="2"/>
      </rPr>
      <t>, 0)</t>
    </r>
  </si>
  <si>
    <r>
      <t>max(K - S</t>
    </r>
    <r>
      <rPr>
        <vertAlign val="subscript"/>
        <sz val="11"/>
        <color theme="1"/>
        <rFont val="Aptos Narrow"/>
        <family val="2"/>
        <scheme val="minor"/>
      </rPr>
      <t>T</t>
    </r>
    <r>
      <rPr>
        <sz val="10"/>
        <rFont val="Arial"/>
        <family val="2"/>
      </rPr>
      <t>, 0) - p</t>
    </r>
  </si>
  <si>
    <t xml:space="preserve">Le détenteur d'une option de vente aura toujours intérêt à exercer dés que : </t>
  </si>
  <si>
    <r>
      <t>S</t>
    </r>
    <r>
      <rPr>
        <vertAlign val="subscript"/>
        <sz val="11"/>
        <color theme="1"/>
        <rFont val="Aptos Narrow"/>
        <family val="2"/>
        <scheme val="minor"/>
      </rPr>
      <t>T</t>
    </r>
    <r>
      <rPr>
        <sz val="10"/>
        <rFont val="Arial"/>
        <family val="2"/>
      </rPr>
      <t xml:space="preserve"> &lt; K</t>
    </r>
  </si>
  <si>
    <t>Profil de gain d'un call sur action :</t>
  </si>
  <si>
    <t>Profil de gain d'un put sur action :</t>
  </si>
  <si>
    <t xml:space="preserve">Strike K = </t>
  </si>
  <si>
    <t>p   =</t>
  </si>
  <si>
    <r>
      <t>S</t>
    </r>
    <r>
      <rPr>
        <b/>
        <vertAlign val="subscript"/>
        <sz val="11"/>
        <color rgb="FF0070C0"/>
        <rFont val="Aptos Narrow"/>
        <family val="2"/>
        <scheme val="minor"/>
      </rPr>
      <t>T</t>
    </r>
    <r>
      <rPr>
        <b/>
        <sz val="11"/>
        <color rgb="FF0070C0"/>
        <rFont val="Aptos Narrow"/>
        <family val="2"/>
        <scheme val="minor"/>
      </rPr>
      <t>*</t>
    </r>
  </si>
  <si>
    <t>Gain</t>
  </si>
  <si>
    <t>PROBLEMATIQUE DE L'EVALUATION DES OPTIONS : COMMENT DETERMINER LA VALEUR D'UNE OPTION AVANT L'ECHEANCE ?</t>
  </si>
  <si>
    <t>Formule de Black &amp; Scholes</t>
  </si>
  <si>
    <t xml:space="preserve">  -  S : </t>
  </si>
  <si>
    <t xml:space="preserve">  -  K : </t>
  </si>
  <si>
    <t>le prix d'exercice de l'option</t>
  </si>
  <si>
    <t xml:space="preserve">  -  T : </t>
  </si>
  <si>
    <t>la maturité du contrat en année (i.e la durée restant jusqu'à l'échéance)</t>
  </si>
  <si>
    <r>
      <t xml:space="preserve">  -  r</t>
    </r>
    <r>
      <rPr>
        <vertAlign val="subscript"/>
        <sz val="10"/>
        <color rgb="FF0070C0"/>
        <rFont val="Arial"/>
        <family val="2"/>
      </rPr>
      <t>f</t>
    </r>
    <r>
      <rPr>
        <sz val="10"/>
        <color rgb="FF0070C0"/>
        <rFont val="Arial"/>
        <family val="2"/>
      </rPr>
      <t xml:space="preserve"> : </t>
    </r>
  </si>
  <si>
    <t>le taux sans risque</t>
  </si>
  <si>
    <t xml:space="preserve">  -   σ : </t>
  </si>
  <si>
    <t>On calcule le prix du call de la manière suivante :</t>
  </si>
  <si>
    <t>avec :</t>
  </si>
  <si>
    <r>
      <t xml:space="preserve">et </t>
    </r>
    <r>
      <rPr>
        <i/>
        <sz val="11"/>
        <color rgb="FF0070C0"/>
        <rFont val="Aptos Narrow"/>
        <family val="2"/>
        <scheme val="minor"/>
      </rPr>
      <t>N(x)</t>
    </r>
    <r>
      <rPr>
        <sz val="11"/>
        <color rgb="FF0070C0"/>
        <rFont val="Aptos Narrow"/>
        <family val="2"/>
        <scheme val="minor"/>
      </rPr>
      <t xml:space="preserve"> la fonction de répartition de la loi normale centrée réduite :</t>
    </r>
  </si>
  <si>
    <t>On considère les paramètres d'une option:</t>
  </si>
  <si>
    <t>la volatilité</t>
  </si>
  <si>
    <t>Application B&amp;S</t>
  </si>
  <si>
    <t>S</t>
  </si>
  <si>
    <t>K</t>
  </si>
  <si>
    <t>T en mois</t>
  </si>
  <si>
    <t>T en année</t>
  </si>
  <si>
    <t>rf</t>
  </si>
  <si>
    <t>Volatilité</t>
  </si>
  <si>
    <t>la valeur du sous jacent</t>
  </si>
  <si>
    <t>Formule pour un call :</t>
  </si>
  <si>
    <t>Formule pour un put :</t>
  </si>
  <si>
    <t>Valeur du call</t>
  </si>
  <si>
    <t>Valeur du put</t>
  </si>
  <si>
    <t>Paramètres de l'option</t>
  </si>
  <si>
    <t>Avec Macro</t>
  </si>
  <si>
    <t>Avec formule Excel</t>
  </si>
  <si>
    <t>BS(S, K, T, r, sigma)</t>
  </si>
  <si>
    <t>dt = T/n =</t>
  </si>
  <si>
    <t>Tirage d'une v.a dans une lois normale N(0,1)</t>
  </si>
  <si>
    <t>Période</t>
  </si>
  <si>
    <t>S1</t>
  </si>
  <si>
    <t>S2</t>
  </si>
  <si>
    <t>S3</t>
  </si>
  <si>
    <t>S4</t>
  </si>
  <si>
    <t>S5</t>
  </si>
  <si>
    <t>n</t>
  </si>
  <si>
    <t>'==&gt; Vecteur St</t>
  </si>
  <si>
    <t>Prix option simulés</t>
  </si>
  <si>
    <t>==&gt; Vecteur PrixOpt</t>
  </si>
  <si>
    <t>P</t>
  </si>
  <si>
    <t xml:space="preserve"> ==&gt; on simule selon une loi uniforme</t>
  </si>
  <si>
    <t>U(P)</t>
  </si>
  <si>
    <t>Pour relancer les simulation appuyer 'F9'</t>
  </si>
  <si>
    <t>Méthodes</t>
  </si>
  <si>
    <t>Call</t>
  </si>
  <si>
    <t>Put</t>
  </si>
  <si>
    <t>Black-Scholes</t>
  </si>
  <si>
    <t>Monte Carlo</t>
  </si>
  <si>
    <t>Ecart</t>
  </si>
  <si>
    <t>Valeur estimée du call :</t>
  </si>
  <si>
    <t>Valeur estimée du Put :</t>
  </si>
  <si>
    <t>Strike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</si>
</sst>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#,##0.00\ &quot;€&quot;"/>
    <numFmt numFmtId="165" formatCode="0.00000000000000"/>
  </numFmts>
  <fonts count="3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u/>
      <sz val="11"/>
      <color rgb="FF7030A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b/>
      <sz val="11"/>
      <color rgb="FF7030A0"/>
      <name val="Aptos Narrow"/>
      <family val="2"/>
      <scheme val="minor"/>
    </font>
    <font>
      <b/>
      <i/>
      <sz val="11"/>
      <color rgb="FF0070C0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b/>
      <vertAlign val="subscript"/>
      <sz val="11"/>
      <color rgb="FF0070C0"/>
      <name val="Aptos Narrow"/>
      <family val="2"/>
      <scheme val="minor"/>
    </font>
    <font>
      <b/>
      <i/>
      <sz val="16"/>
      <color theme="5" tint="-0.249977111117893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u/>
      <sz val="10"/>
      <color rgb="FF7030A0"/>
      <name val="Arial"/>
      <family val="2"/>
    </font>
    <font>
      <sz val="10"/>
      <color rgb="FF0070C0"/>
      <name val="Arial"/>
      <family val="2"/>
    </font>
    <font>
      <vertAlign val="subscript"/>
      <sz val="10"/>
      <color rgb="FF0070C0"/>
      <name val="Arial"/>
      <family val="2"/>
    </font>
    <font>
      <sz val="10"/>
      <color rgb="FF0070C0"/>
      <name val="Aptos Narrow"/>
      <family val="2"/>
      <scheme val="minor"/>
    </font>
    <font>
      <i/>
      <sz val="11"/>
      <color rgb="FF0070C0"/>
      <name val="Aptos Narrow"/>
      <family val="2"/>
      <scheme val="minor"/>
    </font>
    <font>
      <b/>
      <u/>
      <sz val="16"/>
      <color theme="3" tint="0.249977111117893"/>
      <name val="Aptos Narrow"/>
      <family val="2"/>
      <scheme val="minor"/>
    </font>
    <font>
      <u/>
      <sz val="10"/>
      <name val="Arial"/>
      <family val="2"/>
    </font>
    <font>
      <i/>
      <sz val="10"/>
      <name val="Arial"/>
      <family val="2"/>
    </font>
    <font>
      <b/>
      <u/>
      <sz val="10"/>
      <name val="Arial"/>
      <family val="2"/>
    </font>
    <font>
      <b/>
      <sz val="10"/>
      <color theme="3" tint="0.249977111117893"/>
      <name val="Arial"/>
      <family val="2"/>
    </font>
    <font>
      <b/>
      <sz val="11"/>
      <color theme="3" tint="0.24997711111789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</cellStyleXfs>
  <cellXfs count="52">
    <xf numFmtId="0" fontId="0" fillId="0" borderId="0" xfId="0"/>
    <xf numFmtId="0" fontId="2" fillId="0" borderId="0" xfId="1" applyFont="1"/>
    <xf numFmtId="0" fontId="1" fillId="0" borderId="0" xfId="1"/>
    <xf numFmtId="0" fontId="3" fillId="0" borderId="0" xfId="1" applyFont="1"/>
    <xf numFmtId="0" fontId="4" fillId="0" borderId="0" xfId="1" applyFont="1"/>
    <xf numFmtId="0" fontId="7" fillId="0" borderId="0" xfId="1" applyFont="1"/>
    <xf numFmtId="164" fontId="1" fillId="0" borderId="0" xfId="1" applyNumberFormat="1" applyAlignment="1">
      <alignment horizontal="center"/>
    </xf>
    <xf numFmtId="0" fontId="8" fillId="0" borderId="0" xfId="1" applyFont="1"/>
    <xf numFmtId="43" fontId="0" fillId="0" borderId="0" xfId="2" applyFont="1" applyAlignment="1">
      <alignment horizontal="center"/>
    </xf>
    <xf numFmtId="43" fontId="0" fillId="0" borderId="0" xfId="2" applyFont="1"/>
    <xf numFmtId="0" fontId="3" fillId="0" borderId="1" xfId="1" applyFont="1" applyBorder="1" applyAlignment="1">
      <alignment horizontal="center" vertical="center"/>
    </xf>
    <xf numFmtId="2" fontId="1" fillId="0" borderId="0" xfId="1" applyNumberFormat="1" applyAlignment="1">
      <alignment horizontal="center" vertical="center"/>
    </xf>
    <xf numFmtId="2" fontId="1" fillId="2" borderId="0" xfId="1" applyNumberFormat="1" applyFill="1" applyAlignment="1">
      <alignment horizontal="center" vertical="center"/>
    </xf>
    <xf numFmtId="2" fontId="1" fillId="0" borderId="0" xfId="1" applyNumberFormat="1"/>
    <xf numFmtId="2" fontId="11" fillId="0" borderId="0" xfId="1" applyNumberFormat="1" applyFont="1" applyAlignment="1">
      <alignment horizontal="left" vertical="center"/>
    </xf>
    <xf numFmtId="2" fontId="12" fillId="0" borderId="0" xfId="1" applyNumberFormat="1" applyFont="1"/>
    <xf numFmtId="0" fontId="13" fillId="0" borderId="0" xfId="3" applyFont="1"/>
    <xf numFmtId="0" fontId="14" fillId="0" borderId="0" xfId="3" applyFont="1"/>
    <xf numFmtId="0" fontId="16" fillId="0" borderId="0" xfId="3" applyFont="1"/>
    <xf numFmtId="0" fontId="4" fillId="0" borderId="0" xfId="0" applyFont="1"/>
    <xf numFmtId="0" fontId="18" fillId="0" borderId="0" xfId="0" applyFont="1"/>
    <xf numFmtId="0" fontId="19" fillId="0" borderId="0" xfId="0" applyFont="1"/>
    <xf numFmtId="0" fontId="6" fillId="0" borderId="0" xfId="0" applyFont="1"/>
    <xf numFmtId="0" fontId="20" fillId="0" borderId="0" xfId="0" applyFont="1"/>
    <xf numFmtId="10" fontId="0" fillId="0" borderId="0" xfId="0" applyNumberFormat="1"/>
    <xf numFmtId="0" fontId="21" fillId="0" borderId="0" xfId="0" applyFont="1"/>
    <xf numFmtId="0" fontId="6" fillId="0" borderId="2" xfId="0" applyFont="1" applyBorder="1"/>
    <xf numFmtId="165" fontId="0" fillId="0" borderId="3" xfId="4" applyNumberFormat="1" applyFont="1" applyBorder="1"/>
    <xf numFmtId="165" fontId="0" fillId="0" borderId="3" xfId="0" applyNumberFormat="1" applyBorder="1"/>
    <xf numFmtId="0" fontId="22" fillId="0" borderId="0" xfId="0" applyFont="1"/>
    <xf numFmtId="0" fontId="23" fillId="0" borderId="0" xfId="0" applyFont="1"/>
    <xf numFmtId="0" fontId="0" fillId="0" borderId="0" xfId="0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3" borderId="4" xfId="0" applyFont="1" applyFill="1" applyBorder="1" applyAlignment="1">
      <alignment horizontal="center" vertical="center"/>
    </xf>
    <xf numFmtId="0" fontId="29" fillId="3" borderId="5" xfId="0" applyFont="1" applyFill="1" applyBorder="1" applyAlignment="1">
      <alignment horizontal="center" vertical="center"/>
    </xf>
    <xf numFmtId="0" fontId="29" fillId="3" borderId="3" xfId="0" applyFont="1" applyFill="1" applyBorder="1" applyAlignment="1">
      <alignment horizontal="center" vertical="center"/>
    </xf>
    <xf numFmtId="0" fontId="25" fillId="0" borderId="2" xfId="0" applyFont="1" applyBorder="1" applyAlignment="1">
      <alignment horizontal="left" vertical="center" wrapText="1"/>
    </xf>
    <xf numFmtId="0" fontId="0" fillId="0" borderId="0" xfId="0" quotePrefix="1"/>
    <xf numFmtId="0" fontId="31" fillId="0" borderId="0" xfId="0" applyFont="1"/>
    <xf numFmtId="0" fontId="25" fillId="0" borderId="2" xfId="0" applyFont="1" applyBorder="1" applyAlignment="1">
      <alignment horizontal="left" vertical="center"/>
    </xf>
    <xf numFmtId="2" fontId="0" fillId="0" borderId="5" xfId="0" applyNumberFormat="1" applyBorder="1" applyAlignment="1">
      <alignment horizontal="center" vertical="center"/>
    </xf>
    <xf numFmtId="2" fontId="30" fillId="0" borderId="3" xfId="0" applyNumberFormat="1" applyFont="1" applyBorder="1" applyAlignment="1">
      <alignment horizontal="center" vertical="center"/>
    </xf>
    <xf numFmtId="2" fontId="32" fillId="3" borderId="6" xfId="0" applyNumberFormat="1" applyFont="1" applyFill="1" applyBorder="1" applyAlignment="1">
      <alignment horizontal="center" vertical="center"/>
    </xf>
    <xf numFmtId="0" fontId="24" fillId="0" borderId="0" xfId="0" applyFont="1"/>
    <xf numFmtId="2" fontId="0" fillId="0" borderId="0" xfId="0" applyNumberFormat="1"/>
    <xf numFmtId="0" fontId="26" fillId="0" borderId="0" xfId="0" applyFont="1" applyAlignment="1">
      <alignment horizontal="center" vertical="center"/>
    </xf>
  </cellXfs>
  <cellStyles count="5">
    <cellStyle name="Milliers 2" xfId="4" xr:uid="{D90658DA-4C7E-4FFA-9705-BBD3DF6242C8}"/>
    <cellStyle name="Milliers 4" xfId="2" xr:uid="{A4F1E7EC-D954-4D74-A374-740B3D69B5B1}"/>
    <cellStyle name="Normal" xfId="0" builtinId="0"/>
    <cellStyle name="Normal 3" xfId="3" xr:uid="{E40ADD64-D219-46B3-9102-1B1141D158D1}"/>
    <cellStyle name="Normal 4" xfId="1" xr:uid="{8EB612FF-9F72-4D3A-9A70-52A5A6399114}"/>
  </cellStyles>
  <dxfs count="2"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0070C0"/>
                </a:solidFill>
                <a:latin typeface="+mn-lt"/>
                <a:ea typeface="+mn-ea"/>
                <a:cs typeface="+mn-cs"/>
              </a:rPr>
              <a:t>Valeur d'un call à l'échéance</a:t>
            </a:r>
            <a:endParaRPr lang="fr-FR" b="1">
              <a:solidFill>
                <a:srgbClr val="0070C0"/>
              </a:solidFill>
            </a:endParaRPr>
          </a:p>
        </c:rich>
      </c:tx>
      <c:overlay val="0"/>
      <c:spPr>
        <a:solidFill>
          <a:schemeClr val="lt1"/>
        </a:solidFill>
        <a:ln w="12700" cap="flat" cmpd="sng" algn="ctr">
          <a:solidFill>
            <a:schemeClr val="accent2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346319254233687"/>
          <c:y val="0.17287180652162665"/>
          <c:w val="0.78780912596877872"/>
          <c:h val="0.77585858248517048"/>
        </c:manualLayout>
      </c:layout>
      <c:lineChart>
        <c:grouping val="standard"/>
        <c:varyColors val="0"/>
        <c:ser>
          <c:idx val="0"/>
          <c:order val="0"/>
          <c:tx>
            <c:v>Gain/perte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Definition!$A$48:$A$76</c:f>
              <c:numCache>
                <c:formatCode>0.00</c:formatCode>
                <c:ptCount val="29"/>
                <c:pt idx="0">
                  <c:v>74</c:v>
                </c:pt>
                <c:pt idx="1">
                  <c:v>74.5</c:v>
                </c:pt>
                <c:pt idx="2">
                  <c:v>75</c:v>
                </c:pt>
                <c:pt idx="3">
                  <c:v>75.5</c:v>
                </c:pt>
                <c:pt idx="4">
                  <c:v>76</c:v>
                </c:pt>
                <c:pt idx="5">
                  <c:v>76.5</c:v>
                </c:pt>
                <c:pt idx="6">
                  <c:v>77</c:v>
                </c:pt>
                <c:pt idx="7">
                  <c:v>77.5</c:v>
                </c:pt>
                <c:pt idx="8">
                  <c:v>78</c:v>
                </c:pt>
                <c:pt idx="9">
                  <c:v>78.5</c:v>
                </c:pt>
                <c:pt idx="10">
                  <c:v>79</c:v>
                </c:pt>
                <c:pt idx="11">
                  <c:v>79.5</c:v>
                </c:pt>
                <c:pt idx="12">
                  <c:v>80</c:v>
                </c:pt>
                <c:pt idx="13">
                  <c:v>80.5</c:v>
                </c:pt>
                <c:pt idx="14">
                  <c:v>81</c:v>
                </c:pt>
                <c:pt idx="15">
                  <c:v>81.5</c:v>
                </c:pt>
                <c:pt idx="16">
                  <c:v>82</c:v>
                </c:pt>
                <c:pt idx="17">
                  <c:v>82.5</c:v>
                </c:pt>
                <c:pt idx="18">
                  <c:v>83</c:v>
                </c:pt>
                <c:pt idx="19">
                  <c:v>83.5</c:v>
                </c:pt>
                <c:pt idx="20">
                  <c:v>84</c:v>
                </c:pt>
                <c:pt idx="21">
                  <c:v>84.5</c:v>
                </c:pt>
                <c:pt idx="22">
                  <c:v>85</c:v>
                </c:pt>
                <c:pt idx="23">
                  <c:v>85.5</c:v>
                </c:pt>
                <c:pt idx="24">
                  <c:v>86</c:v>
                </c:pt>
                <c:pt idx="25">
                  <c:v>86.5</c:v>
                </c:pt>
                <c:pt idx="26">
                  <c:v>87</c:v>
                </c:pt>
                <c:pt idx="27">
                  <c:v>87.5</c:v>
                </c:pt>
                <c:pt idx="28">
                  <c:v>88</c:v>
                </c:pt>
              </c:numCache>
            </c:numRef>
          </c:cat>
          <c:val>
            <c:numRef>
              <c:f>Definition!$B$48:$B$76</c:f>
              <c:numCache>
                <c:formatCode>0.00</c:formatCode>
                <c:ptCount val="29"/>
                <c:pt idx="0">
                  <c:v>-3.5</c:v>
                </c:pt>
                <c:pt idx="1">
                  <c:v>-3.5</c:v>
                </c:pt>
                <c:pt idx="2">
                  <c:v>-3.5</c:v>
                </c:pt>
                <c:pt idx="3">
                  <c:v>-3.5</c:v>
                </c:pt>
                <c:pt idx="4">
                  <c:v>-3.5</c:v>
                </c:pt>
                <c:pt idx="5">
                  <c:v>-3.5</c:v>
                </c:pt>
                <c:pt idx="6">
                  <c:v>-3.5</c:v>
                </c:pt>
                <c:pt idx="7">
                  <c:v>-3.5</c:v>
                </c:pt>
                <c:pt idx="8">
                  <c:v>-3.5</c:v>
                </c:pt>
                <c:pt idx="9">
                  <c:v>-3.5</c:v>
                </c:pt>
                <c:pt idx="10">
                  <c:v>-3.5</c:v>
                </c:pt>
                <c:pt idx="11">
                  <c:v>-3.5</c:v>
                </c:pt>
                <c:pt idx="12">
                  <c:v>-3.5</c:v>
                </c:pt>
                <c:pt idx="13">
                  <c:v>-3</c:v>
                </c:pt>
                <c:pt idx="14">
                  <c:v>-2.5</c:v>
                </c:pt>
                <c:pt idx="15">
                  <c:v>-2</c:v>
                </c:pt>
                <c:pt idx="16">
                  <c:v>-1.5</c:v>
                </c:pt>
                <c:pt idx="17">
                  <c:v>-1</c:v>
                </c:pt>
                <c:pt idx="18">
                  <c:v>-0.5</c:v>
                </c:pt>
                <c:pt idx="19">
                  <c:v>0</c:v>
                </c:pt>
                <c:pt idx="20">
                  <c:v>0.5</c:v>
                </c:pt>
                <c:pt idx="21">
                  <c:v>1</c:v>
                </c:pt>
                <c:pt idx="22">
                  <c:v>1.5</c:v>
                </c:pt>
                <c:pt idx="23">
                  <c:v>2</c:v>
                </c:pt>
                <c:pt idx="24">
                  <c:v>2.5</c:v>
                </c:pt>
                <c:pt idx="25">
                  <c:v>3</c:v>
                </c:pt>
                <c:pt idx="26">
                  <c:v>3.5</c:v>
                </c:pt>
                <c:pt idx="27">
                  <c:v>4</c:v>
                </c:pt>
                <c:pt idx="28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34-46BE-A43F-0C822DFB6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489423"/>
        <c:axId val="372818991"/>
      </c:lineChart>
      <c:catAx>
        <c:axId val="51648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>
                    <a:solidFill>
                      <a:srgbClr val="7030A0"/>
                    </a:solidFill>
                  </a:rPr>
                  <a:t>Valeur</a:t>
                </a:r>
                <a:r>
                  <a:rPr lang="fr-FR" baseline="0">
                    <a:solidFill>
                      <a:srgbClr val="7030A0"/>
                    </a:solidFill>
                  </a:rPr>
                  <a:t> de l'action à l'échéance</a:t>
                </a:r>
                <a:endParaRPr lang="fr-FR">
                  <a:solidFill>
                    <a:srgbClr val="7030A0"/>
                  </a:solidFill>
                </a:endParaRPr>
              </a:p>
            </c:rich>
          </c:tx>
          <c:layout>
            <c:manualLayout>
              <c:xMode val="edge"/>
              <c:yMode val="edge"/>
              <c:x val="0.7420512911247622"/>
              <c:y val="0.710070166334472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2818991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7281899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1"/>
              </a:solidFill>
              <a:prstDash val="sysDot"/>
              <a:miter lim="800000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>
                    <a:solidFill>
                      <a:srgbClr val="7030A0"/>
                    </a:solidFill>
                  </a:rPr>
                  <a:t>Gain ou</a:t>
                </a:r>
                <a:r>
                  <a:rPr lang="fr-FR" baseline="0">
                    <a:solidFill>
                      <a:srgbClr val="7030A0"/>
                    </a:solidFill>
                  </a:rPr>
                  <a:t> perte</a:t>
                </a:r>
                <a:endParaRPr lang="fr-FR">
                  <a:solidFill>
                    <a:srgbClr val="7030A0"/>
                  </a:solidFill>
                </a:endParaRPr>
              </a:p>
            </c:rich>
          </c:tx>
          <c:layout>
            <c:manualLayout>
              <c:xMode val="edge"/>
              <c:yMode val="edge"/>
              <c:x val="2.3292783365114662E-2"/>
              <c:y val="0.398276430915758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  <a:headEnd type="arrow" w="med" len="med"/>
            <a:tailEnd type="arrow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6489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rgbClr val="0070C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0070C0"/>
                </a:solidFill>
                <a:latin typeface="+mn-lt"/>
                <a:ea typeface="+mn-ea"/>
                <a:cs typeface="+mn-cs"/>
              </a:rPr>
              <a:t>Valeur d'un put à l'échéance</a:t>
            </a:r>
            <a:endParaRPr lang="fr-FR" b="1">
              <a:solidFill>
                <a:srgbClr val="0070C0"/>
              </a:solidFill>
            </a:endParaRPr>
          </a:p>
        </c:rich>
      </c:tx>
      <c:overlay val="0"/>
      <c:spPr>
        <a:solidFill>
          <a:schemeClr val="lt1"/>
        </a:solidFill>
        <a:ln w="12700" cap="flat" cmpd="sng" algn="ctr">
          <a:solidFill>
            <a:schemeClr val="accent2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346319254233687"/>
          <c:y val="0.17287180652162665"/>
          <c:w val="0.78780912596877872"/>
          <c:h val="0.77585858248517048"/>
        </c:manualLayout>
      </c:layout>
      <c:lineChart>
        <c:grouping val="standard"/>
        <c:varyColors val="0"/>
        <c:ser>
          <c:idx val="0"/>
          <c:order val="0"/>
          <c:tx>
            <c:v>Gain/perte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Definition!$E$48:$E$76</c:f>
              <c:numCache>
                <c:formatCode>0.00</c:formatCode>
                <c:ptCount val="29"/>
                <c:pt idx="0">
                  <c:v>72</c:v>
                </c:pt>
                <c:pt idx="1">
                  <c:v>72.5</c:v>
                </c:pt>
                <c:pt idx="2">
                  <c:v>73</c:v>
                </c:pt>
                <c:pt idx="3">
                  <c:v>73.5</c:v>
                </c:pt>
                <c:pt idx="4">
                  <c:v>74</c:v>
                </c:pt>
                <c:pt idx="5">
                  <c:v>74.5</c:v>
                </c:pt>
                <c:pt idx="6">
                  <c:v>75</c:v>
                </c:pt>
                <c:pt idx="7">
                  <c:v>75.5</c:v>
                </c:pt>
                <c:pt idx="8">
                  <c:v>76</c:v>
                </c:pt>
                <c:pt idx="9">
                  <c:v>76.5</c:v>
                </c:pt>
                <c:pt idx="10">
                  <c:v>77</c:v>
                </c:pt>
                <c:pt idx="11">
                  <c:v>77.5</c:v>
                </c:pt>
                <c:pt idx="12">
                  <c:v>78</c:v>
                </c:pt>
                <c:pt idx="13">
                  <c:v>78.5</c:v>
                </c:pt>
                <c:pt idx="14">
                  <c:v>79</c:v>
                </c:pt>
                <c:pt idx="15">
                  <c:v>79.5</c:v>
                </c:pt>
                <c:pt idx="16">
                  <c:v>80</c:v>
                </c:pt>
                <c:pt idx="17">
                  <c:v>80.5</c:v>
                </c:pt>
                <c:pt idx="18">
                  <c:v>81</c:v>
                </c:pt>
                <c:pt idx="19">
                  <c:v>81.5</c:v>
                </c:pt>
                <c:pt idx="20">
                  <c:v>82</c:v>
                </c:pt>
                <c:pt idx="21">
                  <c:v>82.5</c:v>
                </c:pt>
                <c:pt idx="22">
                  <c:v>83</c:v>
                </c:pt>
                <c:pt idx="23">
                  <c:v>83.5</c:v>
                </c:pt>
                <c:pt idx="24">
                  <c:v>84</c:v>
                </c:pt>
                <c:pt idx="25">
                  <c:v>84.5</c:v>
                </c:pt>
                <c:pt idx="26">
                  <c:v>85</c:v>
                </c:pt>
                <c:pt idx="27">
                  <c:v>85.5</c:v>
                </c:pt>
                <c:pt idx="28">
                  <c:v>86</c:v>
                </c:pt>
              </c:numCache>
            </c:numRef>
          </c:cat>
          <c:val>
            <c:numRef>
              <c:f>Definition!$F$48:$F$76</c:f>
              <c:numCache>
                <c:formatCode>0.00</c:formatCode>
                <c:ptCount val="29"/>
                <c:pt idx="0">
                  <c:v>4.5</c:v>
                </c:pt>
                <c:pt idx="1">
                  <c:v>4</c:v>
                </c:pt>
                <c:pt idx="2">
                  <c:v>3.5</c:v>
                </c:pt>
                <c:pt idx="3">
                  <c:v>3</c:v>
                </c:pt>
                <c:pt idx="4">
                  <c:v>2.5</c:v>
                </c:pt>
                <c:pt idx="5">
                  <c:v>2</c:v>
                </c:pt>
                <c:pt idx="6">
                  <c:v>1.5</c:v>
                </c:pt>
                <c:pt idx="7">
                  <c:v>1</c:v>
                </c:pt>
                <c:pt idx="8">
                  <c:v>0.5</c:v>
                </c:pt>
                <c:pt idx="9">
                  <c:v>0</c:v>
                </c:pt>
                <c:pt idx="10">
                  <c:v>-0.5</c:v>
                </c:pt>
                <c:pt idx="11">
                  <c:v>-1</c:v>
                </c:pt>
                <c:pt idx="12">
                  <c:v>-1.5</c:v>
                </c:pt>
                <c:pt idx="13">
                  <c:v>-2</c:v>
                </c:pt>
                <c:pt idx="14">
                  <c:v>-2.5</c:v>
                </c:pt>
                <c:pt idx="15">
                  <c:v>-3</c:v>
                </c:pt>
                <c:pt idx="16">
                  <c:v>-3.5</c:v>
                </c:pt>
                <c:pt idx="17">
                  <c:v>-3.5</c:v>
                </c:pt>
                <c:pt idx="18">
                  <c:v>-3.5</c:v>
                </c:pt>
                <c:pt idx="19">
                  <c:v>-3.5</c:v>
                </c:pt>
                <c:pt idx="20">
                  <c:v>-3.5</c:v>
                </c:pt>
                <c:pt idx="21">
                  <c:v>-3.5</c:v>
                </c:pt>
                <c:pt idx="22">
                  <c:v>-3.5</c:v>
                </c:pt>
                <c:pt idx="23">
                  <c:v>-3.5</c:v>
                </c:pt>
                <c:pt idx="24">
                  <c:v>-3.5</c:v>
                </c:pt>
                <c:pt idx="25">
                  <c:v>-3.5</c:v>
                </c:pt>
                <c:pt idx="26">
                  <c:v>-3.5</c:v>
                </c:pt>
                <c:pt idx="27">
                  <c:v>-3.5</c:v>
                </c:pt>
                <c:pt idx="28">
                  <c:v>-3.5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35-40DB-A42F-870D7549F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489423"/>
        <c:axId val="372818991"/>
      </c:lineChart>
      <c:catAx>
        <c:axId val="51648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>
                    <a:solidFill>
                      <a:srgbClr val="7030A0"/>
                    </a:solidFill>
                  </a:rPr>
                  <a:t>Valeur</a:t>
                </a:r>
                <a:r>
                  <a:rPr lang="fr-FR" baseline="0">
                    <a:solidFill>
                      <a:srgbClr val="7030A0"/>
                    </a:solidFill>
                  </a:rPr>
                  <a:t> de l'action à l'échéance</a:t>
                </a:r>
                <a:endParaRPr lang="fr-FR">
                  <a:solidFill>
                    <a:srgbClr val="7030A0"/>
                  </a:solidFill>
                </a:endParaRPr>
              </a:p>
            </c:rich>
          </c:tx>
          <c:layout>
            <c:manualLayout>
              <c:xMode val="edge"/>
              <c:yMode val="edge"/>
              <c:x val="0.7420512911247622"/>
              <c:y val="0.710070166334472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2818991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7281899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1"/>
              </a:solidFill>
              <a:prstDash val="sysDot"/>
              <a:miter lim="800000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>
                    <a:solidFill>
                      <a:srgbClr val="7030A0"/>
                    </a:solidFill>
                  </a:rPr>
                  <a:t>Gain ou</a:t>
                </a:r>
                <a:r>
                  <a:rPr lang="fr-FR" baseline="0">
                    <a:solidFill>
                      <a:srgbClr val="7030A0"/>
                    </a:solidFill>
                  </a:rPr>
                  <a:t> perte</a:t>
                </a:r>
                <a:endParaRPr lang="fr-FR">
                  <a:solidFill>
                    <a:srgbClr val="7030A0"/>
                  </a:solidFill>
                </a:endParaRPr>
              </a:p>
            </c:rich>
          </c:tx>
          <c:layout>
            <c:manualLayout>
              <c:xMode val="edge"/>
              <c:yMode val="edge"/>
              <c:x val="2.3292783365114662E-2"/>
              <c:y val="0.398276430915758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  <a:headEnd type="arrow" w="med" len="med"/>
            <a:tailEnd type="arrow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6489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rgbClr val="0070C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baseline="0"/>
              <a:t>Trajectoires simulées du prix de l’actif (Monte Carlo)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'Monte Carlo'!$B$1</c:f>
              <c:strCache>
                <c:ptCount val="1"/>
                <c:pt idx="0">
                  <c:v>S1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'Monte Carlo'!$B$2:$B$202</c:f>
              <c:numCache>
                <c:formatCode>General</c:formatCode>
                <c:ptCount val="201"/>
                <c:pt idx="0">
                  <c:v>80</c:v>
                </c:pt>
                <c:pt idx="1">
                  <c:v>80.728664806295072</c:v>
                </c:pt>
                <c:pt idx="2">
                  <c:v>79.552394826562292</c:v>
                </c:pt>
                <c:pt idx="3">
                  <c:v>79.659434562256251</c:v>
                </c:pt>
                <c:pt idx="4">
                  <c:v>79.977551397030368</c:v>
                </c:pt>
                <c:pt idx="5">
                  <c:v>81.67726012587535</c:v>
                </c:pt>
                <c:pt idx="6">
                  <c:v>81.773118041184787</c:v>
                </c:pt>
                <c:pt idx="7">
                  <c:v>81.578351639651487</c:v>
                </c:pt>
                <c:pt idx="8">
                  <c:v>82.186836118389508</c:v>
                </c:pt>
                <c:pt idx="9">
                  <c:v>82.249439528178414</c:v>
                </c:pt>
                <c:pt idx="10">
                  <c:v>82.044995216123638</c:v>
                </c:pt>
                <c:pt idx="11">
                  <c:v>81.949036329720158</c:v>
                </c:pt>
                <c:pt idx="12">
                  <c:v>81.220029852829811</c:v>
                </c:pt>
                <c:pt idx="13">
                  <c:v>82.654578828650074</c:v>
                </c:pt>
                <c:pt idx="14">
                  <c:v>83.124770860932571</c:v>
                </c:pt>
                <c:pt idx="15">
                  <c:v>83.9900617527001</c:v>
                </c:pt>
                <c:pt idx="16">
                  <c:v>84.710245752094906</c:v>
                </c:pt>
                <c:pt idx="17">
                  <c:v>85.170271022347634</c:v>
                </c:pt>
                <c:pt idx="18">
                  <c:v>85.907599707409062</c:v>
                </c:pt>
                <c:pt idx="19">
                  <c:v>86.730282866971649</c:v>
                </c:pt>
                <c:pt idx="20">
                  <c:v>87.923825237840234</c:v>
                </c:pt>
                <c:pt idx="21">
                  <c:v>86.797666981117914</c:v>
                </c:pt>
                <c:pt idx="22">
                  <c:v>87.671550231887807</c:v>
                </c:pt>
                <c:pt idx="23">
                  <c:v>87.50874326663444</c:v>
                </c:pt>
                <c:pt idx="24">
                  <c:v>87.689017268851899</c:v>
                </c:pt>
                <c:pt idx="25">
                  <c:v>87.839210479239227</c:v>
                </c:pt>
                <c:pt idx="26">
                  <c:v>88.534218619011966</c:v>
                </c:pt>
                <c:pt idx="27">
                  <c:v>86.411208554846766</c:v>
                </c:pt>
                <c:pt idx="28">
                  <c:v>86.757810309123485</c:v>
                </c:pt>
                <c:pt idx="29">
                  <c:v>86.708725132952821</c:v>
                </c:pt>
                <c:pt idx="30">
                  <c:v>86.731044940841642</c:v>
                </c:pt>
                <c:pt idx="31">
                  <c:v>86.463259137083199</c:v>
                </c:pt>
                <c:pt idx="32">
                  <c:v>86.532281901441621</c:v>
                </c:pt>
                <c:pt idx="33">
                  <c:v>85.463745924829396</c:v>
                </c:pt>
                <c:pt idx="34">
                  <c:v>85.426993218612822</c:v>
                </c:pt>
                <c:pt idx="35">
                  <c:v>83.352314282761498</c:v>
                </c:pt>
                <c:pt idx="36">
                  <c:v>83.352269438706202</c:v>
                </c:pt>
                <c:pt idx="37">
                  <c:v>83.533051914589848</c:v>
                </c:pt>
                <c:pt idx="38">
                  <c:v>83.05032754612418</c:v>
                </c:pt>
                <c:pt idx="39">
                  <c:v>81.08935933202828</c:v>
                </c:pt>
                <c:pt idx="40">
                  <c:v>81.15087939310169</c:v>
                </c:pt>
                <c:pt idx="41">
                  <c:v>82.481111163455054</c:v>
                </c:pt>
                <c:pt idx="42">
                  <c:v>82.460983897734991</c:v>
                </c:pt>
                <c:pt idx="43">
                  <c:v>81.199314639242601</c:v>
                </c:pt>
                <c:pt idx="44">
                  <c:v>80.497513925757175</c:v>
                </c:pt>
                <c:pt idx="45">
                  <c:v>81.272834369995394</c:v>
                </c:pt>
                <c:pt idx="46">
                  <c:v>80.680666744938407</c:v>
                </c:pt>
                <c:pt idx="47">
                  <c:v>80.5406062729692</c:v>
                </c:pt>
                <c:pt idx="48">
                  <c:v>80.641405701282977</c:v>
                </c:pt>
                <c:pt idx="49">
                  <c:v>81.116925443900101</c:v>
                </c:pt>
                <c:pt idx="50">
                  <c:v>81.029887721879874</c:v>
                </c:pt>
                <c:pt idx="51">
                  <c:v>80.993328733356151</c:v>
                </c:pt>
                <c:pt idx="52">
                  <c:v>80.927774350013905</c:v>
                </c:pt>
                <c:pt idx="53">
                  <c:v>80.089435783184882</c:v>
                </c:pt>
                <c:pt idx="54">
                  <c:v>82.108962906127999</c:v>
                </c:pt>
                <c:pt idx="55">
                  <c:v>82.793074156336658</c:v>
                </c:pt>
                <c:pt idx="56">
                  <c:v>81.449785324823011</c:v>
                </c:pt>
                <c:pt idx="57">
                  <c:v>80.700200696769897</c:v>
                </c:pt>
                <c:pt idx="58">
                  <c:v>81.167254805286547</c:v>
                </c:pt>
                <c:pt idx="59">
                  <c:v>80.600856117160873</c:v>
                </c:pt>
                <c:pt idx="60">
                  <c:v>80.55988945212701</c:v>
                </c:pt>
                <c:pt idx="61">
                  <c:v>81.05365151000764</c:v>
                </c:pt>
                <c:pt idx="62">
                  <c:v>80.125112640621353</c:v>
                </c:pt>
                <c:pt idx="63">
                  <c:v>80.18989832508683</c:v>
                </c:pt>
                <c:pt idx="64">
                  <c:v>79.445853070996449</c:v>
                </c:pt>
                <c:pt idx="65">
                  <c:v>77.972995811471492</c:v>
                </c:pt>
                <c:pt idx="66">
                  <c:v>77.907781353602715</c:v>
                </c:pt>
                <c:pt idx="67">
                  <c:v>79.125198909877597</c:v>
                </c:pt>
                <c:pt idx="68">
                  <c:v>79.901805948772946</c:v>
                </c:pt>
                <c:pt idx="69">
                  <c:v>80.207140347558791</c:v>
                </c:pt>
                <c:pt idx="70">
                  <c:v>80.370418863874718</c:v>
                </c:pt>
                <c:pt idx="71">
                  <c:v>79.986713159911645</c:v>
                </c:pt>
                <c:pt idx="72">
                  <c:v>80.253076390244772</c:v>
                </c:pt>
                <c:pt idx="73">
                  <c:v>80.52634469122566</c:v>
                </c:pt>
                <c:pt idx="74">
                  <c:v>80.25218712780908</c:v>
                </c:pt>
                <c:pt idx="75">
                  <c:v>80.578991145494527</c:v>
                </c:pt>
                <c:pt idx="76">
                  <c:v>79.960173493616097</c:v>
                </c:pt>
                <c:pt idx="77">
                  <c:v>80.107574154907837</c:v>
                </c:pt>
                <c:pt idx="78">
                  <c:v>80.682713760146953</c:v>
                </c:pt>
                <c:pt idx="79">
                  <c:v>79.18729922608118</c:v>
                </c:pt>
                <c:pt idx="80">
                  <c:v>78.622244882077581</c:v>
                </c:pt>
                <c:pt idx="81">
                  <c:v>79.464468188901776</c:v>
                </c:pt>
                <c:pt idx="82">
                  <c:v>78.079775082314612</c:v>
                </c:pt>
                <c:pt idx="83">
                  <c:v>77.948393683607023</c:v>
                </c:pt>
                <c:pt idx="84">
                  <c:v>77.318637816320205</c:v>
                </c:pt>
                <c:pt idx="85">
                  <c:v>77.016194903131577</c:v>
                </c:pt>
                <c:pt idx="86">
                  <c:v>77.951455837156232</c:v>
                </c:pt>
                <c:pt idx="87">
                  <c:v>77.391953384725127</c:v>
                </c:pt>
                <c:pt idx="88">
                  <c:v>77.41739084035629</c:v>
                </c:pt>
                <c:pt idx="89">
                  <c:v>77.632202549449403</c:v>
                </c:pt>
                <c:pt idx="90">
                  <c:v>78.287715763939573</c:v>
                </c:pt>
                <c:pt idx="91">
                  <c:v>77.529055841889218</c:v>
                </c:pt>
                <c:pt idx="92">
                  <c:v>76.88745727960827</c:v>
                </c:pt>
                <c:pt idx="93">
                  <c:v>77.138406810716859</c:v>
                </c:pt>
                <c:pt idx="94">
                  <c:v>77.65059332839067</c:v>
                </c:pt>
                <c:pt idx="95">
                  <c:v>77.521119508580725</c:v>
                </c:pt>
                <c:pt idx="96">
                  <c:v>76.731698777755483</c:v>
                </c:pt>
                <c:pt idx="97">
                  <c:v>76.33411200448711</c:v>
                </c:pt>
                <c:pt idx="98">
                  <c:v>76.336433878282975</c:v>
                </c:pt>
                <c:pt idx="99">
                  <c:v>75.802298449009115</c:v>
                </c:pt>
                <c:pt idx="100">
                  <c:v>76.192051232882861</c:v>
                </c:pt>
                <c:pt idx="101">
                  <c:v>77.322004885139492</c:v>
                </c:pt>
                <c:pt idx="102">
                  <c:v>76.463144247951945</c:v>
                </c:pt>
                <c:pt idx="103">
                  <c:v>77.351464020243768</c:v>
                </c:pt>
                <c:pt idx="104">
                  <c:v>77.231225524634581</c:v>
                </c:pt>
                <c:pt idx="105">
                  <c:v>77.723910058128538</c:v>
                </c:pt>
                <c:pt idx="106">
                  <c:v>78.493140937241307</c:v>
                </c:pt>
                <c:pt idx="107">
                  <c:v>78.427820194445275</c:v>
                </c:pt>
                <c:pt idx="108">
                  <c:v>77.941900189356687</c:v>
                </c:pt>
                <c:pt idx="109">
                  <c:v>77.558245041331688</c:v>
                </c:pt>
                <c:pt idx="110">
                  <c:v>78.21733760663281</c:v>
                </c:pt>
                <c:pt idx="111">
                  <c:v>79.362752023167104</c:v>
                </c:pt>
                <c:pt idx="112">
                  <c:v>80.241792497759889</c:v>
                </c:pt>
                <c:pt idx="113">
                  <c:v>80.090308054635116</c:v>
                </c:pt>
                <c:pt idx="114">
                  <c:v>79.933170910220326</c:v>
                </c:pt>
                <c:pt idx="115">
                  <c:v>80.917719743523421</c:v>
                </c:pt>
                <c:pt idx="116">
                  <c:v>81.140263652103911</c:v>
                </c:pt>
                <c:pt idx="117">
                  <c:v>81.343246308267624</c:v>
                </c:pt>
                <c:pt idx="118">
                  <c:v>82.50322383509635</c:v>
                </c:pt>
                <c:pt idx="119">
                  <c:v>81.486693935021279</c:v>
                </c:pt>
                <c:pt idx="120">
                  <c:v>82.013480618855397</c:v>
                </c:pt>
                <c:pt idx="121">
                  <c:v>82.781213463321308</c:v>
                </c:pt>
                <c:pt idx="122">
                  <c:v>82.876371198276871</c:v>
                </c:pt>
                <c:pt idx="123">
                  <c:v>82.261670585244389</c:v>
                </c:pt>
                <c:pt idx="124">
                  <c:v>82.233478880635701</c:v>
                </c:pt>
                <c:pt idx="125">
                  <c:v>82.384991057091966</c:v>
                </c:pt>
                <c:pt idx="126">
                  <c:v>82.306616341838591</c:v>
                </c:pt>
                <c:pt idx="127">
                  <c:v>81.887914928612091</c:v>
                </c:pt>
                <c:pt idx="128">
                  <c:v>81.844665643243985</c:v>
                </c:pt>
                <c:pt idx="129">
                  <c:v>80.864459533028992</c:v>
                </c:pt>
                <c:pt idx="130">
                  <c:v>80.704232298988188</c:v>
                </c:pt>
                <c:pt idx="131">
                  <c:v>82.004121819891978</c:v>
                </c:pt>
                <c:pt idx="132">
                  <c:v>81.379964200904908</c:v>
                </c:pt>
                <c:pt idx="133">
                  <c:v>82.018627861804319</c:v>
                </c:pt>
                <c:pt idx="134">
                  <c:v>82.184482619501267</c:v>
                </c:pt>
                <c:pt idx="135">
                  <c:v>82.045834432776473</c:v>
                </c:pt>
                <c:pt idx="136">
                  <c:v>81.499158911117192</c:v>
                </c:pt>
                <c:pt idx="137">
                  <c:v>81.946293639612634</c:v>
                </c:pt>
                <c:pt idx="138">
                  <c:v>81.894350995307803</c:v>
                </c:pt>
                <c:pt idx="139">
                  <c:v>81.220284873098535</c:v>
                </c:pt>
                <c:pt idx="140">
                  <c:v>80.389209614489374</c:v>
                </c:pt>
                <c:pt idx="141">
                  <c:v>81.457189380726817</c:v>
                </c:pt>
                <c:pt idx="142">
                  <c:v>80.139015203404199</c:v>
                </c:pt>
                <c:pt idx="143">
                  <c:v>80.009488360764124</c:v>
                </c:pt>
                <c:pt idx="144">
                  <c:v>80.099774948488715</c:v>
                </c:pt>
                <c:pt idx="145">
                  <c:v>80.28380976985774</c:v>
                </c:pt>
                <c:pt idx="146">
                  <c:v>79.167957546455639</c:v>
                </c:pt>
                <c:pt idx="147">
                  <c:v>78.198333195774865</c:v>
                </c:pt>
                <c:pt idx="148">
                  <c:v>77.817240332222738</c:v>
                </c:pt>
                <c:pt idx="149">
                  <c:v>76.713988267352065</c:v>
                </c:pt>
                <c:pt idx="150">
                  <c:v>76.738723438252308</c:v>
                </c:pt>
                <c:pt idx="151">
                  <c:v>75.477560711076109</c:v>
                </c:pt>
                <c:pt idx="152">
                  <c:v>76.050370978113619</c:v>
                </c:pt>
                <c:pt idx="153">
                  <c:v>76.844481717256571</c:v>
                </c:pt>
                <c:pt idx="154">
                  <c:v>76.519675097150909</c:v>
                </c:pt>
                <c:pt idx="155">
                  <c:v>75.479105907190117</c:v>
                </c:pt>
                <c:pt idx="156">
                  <c:v>75.63256928508342</c:v>
                </c:pt>
                <c:pt idx="157">
                  <c:v>75.91050183885028</c:v>
                </c:pt>
                <c:pt idx="158">
                  <c:v>76.318125450112873</c:v>
                </c:pt>
                <c:pt idx="159">
                  <c:v>76.776997275702655</c:v>
                </c:pt>
                <c:pt idx="160">
                  <c:v>76.721749547802645</c:v>
                </c:pt>
                <c:pt idx="161">
                  <c:v>75.408838343199704</c:v>
                </c:pt>
                <c:pt idx="162">
                  <c:v>76.110679414321226</c:v>
                </c:pt>
                <c:pt idx="163">
                  <c:v>76.699602034030221</c:v>
                </c:pt>
                <c:pt idx="164">
                  <c:v>77.790786222174276</c:v>
                </c:pt>
                <c:pt idx="165">
                  <c:v>77.221638436577635</c:v>
                </c:pt>
                <c:pt idx="166">
                  <c:v>77.615986296017056</c:v>
                </c:pt>
                <c:pt idx="167">
                  <c:v>77.851078387693022</c:v>
                </c:pt>
                <c:pt idx="168">
                  <c:v>78.822186115629961</c:v>
                </c:pt>
                <c:pt idx="169">
                  <c:v>78.747510478636045</c:v>
                </c:pt>
                <c:pt idx="170">
                  <c:v>79.680359700316359</c:v>
                </c:pt>
                <c:pt idx="171">
                  <c:v>78.228844790091188</c:v>
                </c:pt>
                <c:pt idx="172">
                  <c:v>78.173569627355747</c:v>
                </c:pt>
                <c:pt idx="173">
                  <c:v>78.144375500619248</c:v>
                </c:pt>
                <c:pt idx="174">
                  <c:v>78.084330593597812</c:v>
                </c:pt>
                <c:pt idx="175">
                  <c:v>76.536748946407712</c:v>
                </c:pt>
                <c:pt idx="176">
                  <c:v>75.99203290453687</c:v>
                </c:pt>
                <c:pt idx="177">
                  <c:v>76.376565849373193</c:v>
                </c:pt>
                <c:pt idx="178">
                  <c:v>76.413083163513832</c:v>
                </c:pt>
                <c:pt idx="179">
                  <c:v>77.051820791426792</c:v>
                </c:pt>
                <c:pt idx="180">
                  <c:v>77.599073643299633</c:v>
                </c:pt>
                <c:pt idx="181">
                  <c:v>78.852668915970469</c:v>
                </c:pt>
                <c:pt idx="182">
                  <c:v>79.496634963175225</c:v>
                </c:pt>
                <c:pt idx="183">
                  <c:v>78.912424842422737</c:v>
                </c:pt>
                <c:pt idx="184">
                  <c:v>77.799869446006596</c:v>
                </c:pt>
                <c:pt idx="185">
                  <c:v>79.093081437910286</c:v>
                </c:pt>
                <c:pt idx="186">
                  <c:v>79.287322017526094</c:v>
                </c:pt>
                <c:pt idx="187">
                  <c:v>78.962695903342038</c:v>
                </c:pt>
                <c:pt idx="188">
                  <c:v>79.353280545310014</c:v>
                </c:pt>
                <c:pt idx="189">
                  <c:v>79.197582920465919</c:v>
                </c:pt>
                <c:pt idx="190">
                  <c:v>80.281903311780766</c:v>
                </c:pt>
                <c:pt idx="191">
                  <c:v>79.957263596580688</c:v>
                </c:pt>
                <c:pt idx="192">
                  <c:v>79.69216275184337</c:v>
                </c:pt>
                <c:pt idx="193">
                  <c:v>78.391770634035524</c:v>
                </c:pt>
                <c:pt idx="194">
                  <c:v>78.325312447160158</c:v>
                </c:pt>
                <c:pt idx="195">
                  <c:v>78.240274655184535</c:v>
                </c:pt>
                <c:pt idx="196">
                  <c:v>79.029557068953693</c:v>
                </c:pt>
                <c:pt idx="197">
                  <c:v>79.004479585617389</c:v>
                </c:pt>
                <c:pt idx="198">
                  <c:v>78.767923547579684</c:v>
                </c:pt>
                <c:pt idx="199">
                  <c:v>77.746857765525931</c:v>
                </c:pt>
                <c:pt idx="200">
                  <c:v>78.770398249887933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D9-406C-8B04-786BF3A9579A}"/>
            </c:ext>
          </c:extLst>
        </c:ser>
        <c:ser>
          <c:idx val="2"/>
          <c:order val="2"/>
          <c:tx>
            <c:strRef>
              <c:f>'Monte Carlo'!$C$1</c:f>
              <c:strCache>
                <c:ptCount val="1"/>
                <c:pt idx="0">
                  <c:v>S2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'Monte Carlo'!$C$2:$C$202</c:f>
              <c:numCache>
                <c:formatCode>General</c:formatCode>
                <c:ptCount val="201"/>
                <c:pt idx="0">
                  <c:v>80</c:v>
                </c:pt>
                <c:pt idx="1">
                  <c:v>80.173360982499503</c:v>
                </c:pt>
                <c:pt idx="2">
                  <c:v>79.728140268404928</c:v>
                </c:pt>
                <c:pt idx="3">
                  <c:v>79.11181297458883</c:v>
                </c:pt>
                <c:pt idx="4">
                  <c:v>78.111841988014262</c:v>
                </c:pt>
                <c:pt idx="5">
                  <c:v>76.979624701246422</c:v>
                </c:pt>
                <c:pt idx="6">
                  <c:v>77.545531456766042</c:v>
                </c:pt>
                <c:pt idx="7">
                  <c:v>77.593857183845202</c:v>
                </c:pt>
                <c:pt idx="8">
                  <c:v>77.501080996480269</c:v>
                </c:pt>
                <c:pt idx="9">
                  <c:v>78.239239058263053</c:v>
                </c:pt>
                <c:pt idx="10">
                  <c:v>79.50085677681966</c:v>
                </c:pt>
                <c:pt idx="11">
                  <c:v>80.6736759835226</c:v>
                </c:pt>
                <c:pt idx="12">
                  <c:v>80.484095461275146</c:v>
                </c:pt>
                <c:pt idx="13">
                  <c:v>80.708916662619117</c:v>
                </c:pt>
                <c:pt idx="14">
                  <c:v>80.422101525039395</c:v>
                </c:pt>
                <c:pt idx="15">
                  <c:v>80.037243703299552</c:v>
                </c:pt>
                <c:pt idx="16">
                  <c:v>80.007891987262028</c:v>
                </c:pt>
                <c:pt idx="17">
                  <c:v>79.961728590300368</c:v>
                </c:pt>
                <c:pt idx="18">
                  <c:v>79.985514506445682</c:v>
                </c:pt>
                <c:pt idx="19">
                  <c:v>80.192443565682865</c:v>
                </c:pt>
                <c:pt idx="20">
                  <c:v>80.499899044021603</c:v>
                </c:pt>
                <c:pt idx="21">
                  <c:v>79.443300783115873</c:v>
                </c:pt>
                <c:pt idx="22">
                  <c:v>78.474055158732909</c:v>
                </c:pt>
                <c:pt idx="23">
                  <c:v>78.751184805201845</c:v>
                </c:pt>
                <c:pt idx="24">
                  <c:v>78.983460822978415</c:v>
                </c:pt>
                <c:pt idx="25">
                  <c:v>79.192103735899352</c:v>
                </c:pt>
                <c:pt idx="26">
                  <c:v>79.37749427514089</c:v>
                </c:pt>
                <c:pt idx="27">
                  <c:v>79.938128638001274</c:v>
                </c:pt>
                <c:pt idx="28">
                  <c:v>80.291339725442583</c:v>
                </c:pt>
                <c:pt idx="29">
                  <c:v>79.589302978533908</c:v>
                </c:pt>
                <c:pt idx="30">
                  <c:v>79.996843782185692</c:v>
                </c:pt>
                <c:pt idx="31">
                  <c:v>81.260092118607389</c:v>
                </c:pt>
                <c:pt idx="32">
                  <c:v>81.753959974516505</c:v>
                </c:pt>
                <c:pt idx="33">
                  <c:v>83.09224990212401</c:v>
                </c:pt>
                <c:pt idx="34">
                  <c:v>82.860410797109765</c:v>
                </c:pt>
                <c:pt idx="35">
                  <c:v>82.241934000506973</c:v>
                </c:pt>
                <c:pt idx="36">
                  <c:v>83.356347126152698</c:v>
                </c:pt>
                <c:pt idx="37">
                  <c:v>83.658208125661446</c:v>
                </c:pt>
                <c:pt idx="38">
                  <c:v>84.513922797100037</c:v>
                </c:pt>
                <c:pt idx="39">
                  <c:v>85.542538520080498</c:v>
                </c:pt>
                <c:pt idx="40">
                  <c:v>83.65918836340515</c:v>
                </c:pt>
                <c:pt idx="41">
                  <c:v>82.72458446613993</c:v>
                </c:pt>
                <c:pt idx="42">
                  <c:v>82.453934748761966</c:v>
                </c:pt>
                <c:pt idx="43">
                  <c:v>82.834547440420252</c:v>
                </c:pt>
                <c:pt idx="44">
                  <c:v>81.494826345215031</c:v>
                </c:pt>
                <c:pt idx="45">
                  <c:v>81.841549139643234</c:v>
                </c:pt>
                <c:pt idx="46">
                  <c:v>82.698688574668083</c:v>
                </c:pt>
                <c:pt idx="47">
                  <c:v>82.362609247263975</c:v>
                </c:pt>
                <c:pt idx="48">
                  <c:v>81.369312095031148</c:v>
                </c:pt>
                <c:pt idx="49">
                  <c:v>81.084971086823131</c:v>
                </c:pt>
                <c:pt idx="50">
                  <c:v>81.40832316379489</c:v>
                </c:pt>
                <c:pt idx="51">
                  <c:v>81.666062979008871</c:v>
                </c:pt>
                <c:pt idx="52">
                  <c:v>82.353194874937898</c:v>
                </c:pt>
                <c:pt idx="53">
                  <c:v>81.662082587740713</c:v>
                </c:pt>
                <c:pt idx="54">
                  <c:v>81.445548403306944</c:v>
                </c:pt>
                <c:pt idx="55">
                  <c:v>81.863138387073036</c:v>
                </c:pt>
                <c:pt idx="56">
                  <c:v>81.420887951855661</c:v>
                </c:pt>
                <c:pt idx="57">
                  <c:v>81.013729815389965</c:v>
                </c:pt>
                <c:pt idx="58">
                  <c:v>81.676682433533642</c:v>
                </c:pt>
                <c:pt idx="59">
                  <c:v>81.57220039615369</c:v>
                </c:pt>
                <c:pt idx="60">
                  <c:v>81.619738031967515</c:v>
                </c:pt>
                <c:pt idx="61">
                  <c:v>82.196254655586543</c:v>
                </c:pt>
                <c:pt idx="62">
                  <c:v>82.065361645254185</c:v>
                </c:pt>
                <c:pt idx="63">
                  <c:v>83.279292113593115</c:v>
                </c:pt>
                <c:pt idx="64">
                  <c:v>84.550202928258315</c:v>
                </c:pt>
                <c:pt idx="65">
                  <c:v>84.665381262744646</c:v>
                </c:pt>
                <c:pt idx="66">
                  <c:v>85.084833692013675</c:v>
                </c:pt>
                <c:pt idx="67">
                  <c:v>84.714745400239934</c:v>
                </c:pt>
                <c:pt idx="68">
                  <c:v>84.528848725937294</c:v>
                </c:pt>
                <c:pt idx="69">
                  <c:v>84.662558183408279</c:v>
                </c:pt>
                <c:pt idx="70">
                  <c:v>85.149401795593718</c:v>
                </c:pt>
                <c:pt idx="71">
                  <c:v>85.93621768399494</c:v>
                </c:pt>
                <c:pt idx="72">
                  <c:v>86.558709750633795</c:v>
                </c:pt>
                <c:pt idx="73">
                  <c:v>86.496990659529175</c:v>
                </c:pt>
                <c:pt idx="74">
                  <c:v>85.922797823142204</c:v>
                </c:pt>
                <c:pt idx="75">
                  <c:v>86.190330549793401</c:v>
                </c:pt>
                <c:pt idx="76">
                  <c:v>85.396561824050096</c:v>
                </c:pt>
                <c:pt idx="77">
                  <c:v>84.689060515252308</c:v>
                </c:pt>
                <c:pt idx="78">
                  <c:v>86.90489144874374</c:v>
                </c:pt>
                <c:pt idx="79">
                  <c:v>85.972558278657601</c:v>
                </c:pt>
                <c:pt idx="80">
                  <c:v>86.197852574628797</c:v>
                </c:pt>
                <c:pt idx="81">
                  <c:v>86.004896885330311</c:v>
                </c:pt>
                <c:pt idx="82">
                  <c:v>86.81576848206015</c:v>
                </c:pt>
                <c:pt idx="83">
                  <c:v>87.389234901916467</c:v>
                </c:pt>
                <c:pt idx="84">
                  <c:v>86.202453372121198</c:v>
                </c:pt>
                <c:pt idx="85">
                  <c:v>86.911464386909486</c:v>
                </c:pt>
                <c:pt idx="86">
                  <c:v>87.52790484128505</c:v>
                </c:pt>
                <c:pt idx="87">
                  <c:v>87.254434048180443</c:v>
                </c:pt>
                <c:pt idx="88">
                  <c:v>87.516830272655483</c:v>
                </c:pt>
                <c:pt idx="89">
                  <c:v>88.142278916207317</c:v>
                </c:pt>
                <c:pt idx="90">
                  <c:v>87.44030013150028</c:v>
                </c:pt>
                <c:pt idx="91">
                  <c:v>88.011258362019191</c:v>
                </c:pt>
                <c:pt idx="92">
                  <c:v>88.310216869718531</c:v>
                </c:pt>
                <c:pt idx="93">
                  <c:v>87.2835698042784</c:v>
                </c:pt>
                <c:pt idx="94">
                  <c:v>87.91039718549419</c:v>
                </c:pt>
                <c:pt idx="95">
                  <c:v>87.872291104510495</c:v>
                </c:pt>
                <c:pt idx="96">
                  <c:v>87.848396148700928</c:v>
                </c:pt>
                <c:pt idx="97">
                  <c:v>87.223980085239006</c:v>
                </c:pt>
                <c:pt idx="98">
                  <c:v>87.997754305431755</c:v>
                </c:pt>
                <c:pt idx="99">
                  <c:v>86.958730444402534</c:v>
                </c:pt>
                <c:pt idx="100">
                  <c:v>86.746903315496226</c:v>
                </c:pt>
                <c:pt idx="101">
                  <c:v>86.111344601813954</c:v>
                </c:pt>
                <c:pt idx="102">
                  <c:v>84.88184905410094</c:v>
                </c:pt>
                <c:pt idx="103">
                  <c:v>85.390924548890084</c:v>
                </c:pt>
                <c:pt idx="104">
                  <c:v>85.784665773798125</c:v>
                </c:pt>
                <c:pt idx="105">
                  <c:v>86.632309174689937</c:v>
                </c:pt>
                <c:pt idx="106">
                  <c:v>85.079049739730621</c:v>
                </c:pt>
                <c:pt idx="107">
                  <c:v>85.799758428158924</c:v>
                </c:pt>
                <c:pt idx="108">
                  <c:v>86.179786931237842</c:v>
                </c:pt>
                <c:pt idx="109">
                  <c:v>85.911996951734352</c:v>
                </c:pt>
                <c:pt idx="110">
                  <c:v>85.390479502777879</c:v>
                </c:pt>
                <c:pt idx="111">
                  <c:v>84.158985448901376</c:v>
                </c:pt>
                <c:pt idx="112">
                  <c:v>85.360670257493197</c:v>
                </c:pt>
                <c:pt idx="113">
                  <c:v>86.478169286220563</c:v>
                </c:pt>
                <c:pt idx="114">
                  <c:v>86.84569946628865</c:v>
                </c:pt>
                <c:pt idx="115">
                  <c:v>87.922135846722696</c:v>
                </c:pt>
                <c:pt idx="116">
                  <c:v>89.024651341106676</c:v>
                </c:pt>
                <c:pt idx="117">
                  <c:v>88.470352697958248</c:v>
                </c:pt>
                <c:pt idx="118">
                  <c:v>89.007617951631346</c:v>
                </c:pt>
                <c:pt idx="119">
                  <c:v>90.329063648074012</c:v>
                </c:pt>
                <c:pt idx="120">
                  <c:v>90.437633443430272</c:v>
                </c:pt>
                <c:pt idx="121">
                  <c:v>89.855127002966668</c:v>
                </c:pt>
                <c:pt idx="122">
                  <c:v>90.092949425026376</c:v>
                </c:pt>
                <c:pt idx="123">
                  <c:v>90.743735253279368</c:v>
                </c:pt>
                <c:pt idx="124">
                  <c:v>90.676520740202989</c:v>
                </c:pt>
                <c:pt idx="125">
                  <c:v>91.009365241020362</c:v>
                </c:pt>
                <c:pt idx="126">
                  <c:v>90.043084492823922</c:v>
                </c:pt>
                <c:pt idx="127">
                  <c:v>90.334648880170761</c:v>
                </c:pt>
                <c:pt idx="128">
                  <c:v>90.840785228392207</c:v>
                </c:pt>
                <c:pt idx="129">
                  <c:v>91.665846018934118</c:v>
                </c:pt>
                <c:pt idx="130">
                  <c:v>91.734844217009538</c:v>
                </c:pt>
                <c:pt idx="131">
                  <c:v>92.680582946748927</c:v>
                </c:pt>
                <c:pt idx="132">
                  <c:v>93.437644982885971</c:v>
                </c:pt>
                <c:pt idx="133">
                  <c:v>92.518424372796815</c:v>
                </c:pt>
                <c:pt idx="134">
                  <c:v>93.165936065688584</c:v>
                </c:pt>
                <c:pt idx="135">
                  <c:v>92.766345928024478</c:v>
                </c:pt>
                <c:pt idx="136">
                  <c:v>91.87636844402958</c:v>
                </c:pt>
                <c:pt idx="137">
                  <c:v>91.025326094270341</c:v>
                </c:pt>
                <c:pt idx="138">
                  <c:v>90.081083589118066</c:v>
                </c:pt>
                <c:pt idx="139">
                  <c:v>90.331428409995681</c:v>
                </c:pt>
                <c:pt idx="140">
                  <c:v>90.439703333348319</c:v>
                </c:pt>
                <c:pt idx="141">
                  <c:v>90.016511258387922</c:v>
                </c:pt>
                <c:pt idx="142">
                  <c:v>90.418938721365706</c:v>
                </c:pt>
                <c:pt idx="143">
                  <c:v>90.584777254865656</c:v>
                </c:pt>
                <c:pt idx="144">
                  <c:v>90.312483890170029</c:v>
                </c:pt>
                <c:pt idx="145">
                  <c:v>89.054934235781531</c:v>
                </c:pt>
                <c:pt idx="146">
                  <c:v>89.568455445970017</c:v>
                </c:pt>
                <c:pt idx="147">
                  <c:v>90.088111791849414</c:v>
                </c:pt>
                <c:pt idx="148">
                  <c:v>89.596137444095234</c:v>
                </c:pt>
                <c:pt idx="149">
                  <c:v>89.366252409272363</c:v>
                </c:pt>
                <c:pt idx="150">
                  <c:v>88.377207715018443</c:v>
                </c:pt>
                <c:pt idx="151">
                  <c:v>88.081416362537652</c:v>
                </c:pt>
                <c:pt idx="152">
                  <c:v>89.077739135787567</c:v>
                </c:pt>
                <c:pt idx="153">
                  <c:v>89.756143133272971</c:v>
                </c:pt>
                <c:pt idx="154">
                  <c:v>91.422409678568698</c:v>
                </c:pt>
                <c:pt idx="155">
                  <c:v>90.392757320245934</c:v>
                </c:pt>
                <c:pt idx="156">
                  <c:v>89.651668159305757</c:v>
                </c:pt>
                <c:pt idx="157">
                  <c:v>89.554874795859376</c:v>
                </c:pt>
                <c:pt idx="158">
                  <c:v>89.122247904498593</c:v>
                </c:pt>
                <c:pt idx="159">
                  <c:v>89.712004025151316</c:v>
                </c:pt>
                <c:pt idx="160">
                  <c:v>89.90264036506143</c:v>
                </c:pt>
                <c:pt idx="161">
                  <c:v>89.01202020171155</c:v>
                </c:pt>
                <c:pt idx="162">
                  <c:v>89.663310816541596</c:v>
                </c:pt>
                <c:pt idx="163">
                  <c:v>89.457255083617738</c:v>
                </c:pt>
                <c:pt idx="164">
                  <c:v>89.572728148649716</c:v>
                </c:pt>
                <c:pt idx="165">
                  <c:v>90.732735680958015</c:v>
                </c:pt>
                <c:pt idx="166">
                  <c:v>90.062219232757386</c:v>
                </c:pt>
                <c:pt idx="167">
                  <c:v>90.924411399212204</c:v>
                </c:pt>
                <c:pt idx="168">
                  <c:v>90.547756201962727</c:v>
                </c:pt>
                <c:pt idx="169">
                  <c:v>90.108646936474372</c:v>
                </c:pt>
                <c:pt idx="170">
                  <c:v>90.658749919898128</c:v>
                </c:pt>
                <c:pt idx="171">
                  <c:v>90.917492917445628</c:v>
                </c:pt>
                <c:pt idx="172">
                  <c:v>91.828535725788129</c:v>
                </c:pt>
                <c:pt idx="173">
                  <c:v>91.225193181726695</c:v>
                </c:pt>
                <c:pt idx="174">
                  <c:v>92.694287235635613</c:v>
                </c:pt>
                <c:pt idx="175">
                  <c:v>93.525435317416708</c:v>
                </c:pt>
                <c:pt idx="176">
                  <c:v>93.181001855522027</c:v>
                </c:pt>
                <c:pt idx="177">
                  <c:v>93.643375476734619</c:v>
                </c:pt>
                <c:pt idx="178">
                  <c:v>93.683429685018211</c:v>
                </c:pt>
                <c:pt idx="179">
                  <c:v>93.552195865744025</c:v>
                </c:pt>
                <c:pt idx="180">
                  <c:v>92.948318043577217</c:v>
                </c:pt>
                <c:pt idx="181">
                  <c:v>92.314201563274054</c:v>
                </c:pt>
                <c:pt idx="182">
                  <c:v>92.057352099496612</c:v>
                </c:pt>
                <c:pt idx="183">
                  <c:v>91.93580467264151</c:v>
                </c:pt>
                <c:pt idx="184">
                  <c:v>91.212574362270288</c:v>
                </c:pt>
                <c:pt idx="185">
                  <c:v>89.600307295414083</c:v>
                </c:pt>
                <c:pt idx="186">
                  <c:v>89.226742007597139</c:v>
                </c:pt>
                <c:pt idx="187">
                  <c:v>88.419277779194502</c:v>
                </c:pt>
                <c:pt idx="188">
                  <c:v>88.711582111737982</c:v>
                </c:pt>
                <c:pt idx="189">
                  <c:v>88.814686908354773</c:v>
                </c:pt>
                <c:pt idx="190">
                  <c:v>89.211530277802979</c:v>
                </c:pt>
                <c:pt idx="191">
                  <c:v>88.724726035475754</c:v>
                </c:pt>
                <c:pt idx="192">
                  <c:v>89.337950821176292</c:v>
                </c:pt>
                <c:pt idx="193">
                  <c:v>89.335823726928666</c:v>
                </c:pt>
                <c:pt idx="194">
                  <c:v>89.685437211478728</c:v>
                </c:pt>
                <c:pt idx="195">
                  <c:v>89.52663747126384</c:v>
                </c:pt>
                <c:pt idx="196">
                  <c:v>89.493446104921162</c:v>
                </c:pt>
                <c:pt idx="197">
                  <c:v>90.201217604661451</c:v>
                </c:pt>
                <c:pt idx="198">
                  <c:v>90.549254926768825</c:v>
                </c:pt>
                <c:pt idx="199">
                  <c:v>88.651712379208647</c:v>
                </c:pt>
                <c:pt idx="200">
                  <c:v>89.063230615921398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D9-406C-8B04-786BF3A9579A}"/>
            </c:ext>
          </c:extLst>
        </c:ser>
        <c:ser>
          <c:idx val="3"/>
          <c:order val="3"/>
          <c:tx>
            <c:strRef>
              <c:f>'Monte Carlo'!$D$1</c:f>
              <c:strCache>
                <c:ptCount val="1"/>
                <c:pt idx="0">
                  <c:v>S3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'Monte Carlo'!$D$2:$D$202</c:f>
              <c:numCache>
                <c:formatCode>General</c:formatCode>
                <c:ptCount val="201"/>
                <c:pt idx="0">
                  <c:v>80</c:v>
                </c:pt>
                <c:pt idx="1">
                  <c:v>80.520463022440822</c:v>
                </c:pt>
                <c:pt idx="2">
                  <c:v>80.814922128059436</c:v>
                </c:pt>
                <c:pt idx="3">
                  <c:v>80.391974359116745</c:v>
                </c:pt>
                <c:pt idx="4">
                  <c:v>80.532329638572136</c:v>
                </c:pt>
                <c:pt idx="5">
                  <c:v>80.383263916597855</c:v>
                </c:pt>
                <c:pt idx="6">
                  <c:v>81.289203084236988</c:v>
                </c:pt>
                <c:pt idx="7">
                  <c:v>80.668150203996476</c:v>
                </c:pt>
                <c:pt idx="8">
                  <c:v>81.194004825638999</c:v>
                </c:pt>
                <c:pt idx="9">
                  <c:v>82.433730423248861</c:v>
                </c:pt>
                <c:pt idx="10">
                  <c:v>82.332078495506565</c:v>
                </c:pt>
                <c:pt idx="11">
                  <c:v>82.734398385681416</c:v>
                </c:pt>
                <c:pt idx="12">
                  <c:v>82.967291207186378</c:v>
                </c:pt>
                <c:pt idx="13">
                  <c:v>84.36701217018998</c:v>
                </c:pt>
                <c:pt idx="14">
                  <c:v>84.46724248182727</c:v>
                </c:pt>
                <c:pt idx="15">
                  <c:v>85.604972078765499</c:v>
                </c:pt>
                <c:pt idx="16">
                  <c:v>84.509669115960008</c:v>
                </c:pt>
                <c:pt idx="17">
                  <c:v>84.790907877118869</c:v>
                </c:pt>
                <c:pt idx="18">
                  <c:v>84.559390028486519</c:v>
                </c:pt>
                <c:pt idx="19">
                  <c:v>84.383604671337807</c:v>
                </c:pt>
                <c:pt idx="20">
                  <c:v>85.570864848315424</c:v>
                </c:pt>
                <c:pt idx="21">
                  <c:v>85.253616163160771</c:v>
                </c:pt>
                <c:pt idx="22">
                  <c:v>84.503840449161487</c:v>
                </c:pt>
                <c:pt idx="23">
                  <c:v>85.420514248020496</c:v>
                </c:pt>
                <c:pt idx="24">
                  <c:v>85.889258037430537</c:v>
                </c:pt>
                <c:pt idx="25">
                  <c:v>85.327331057323008</c:v>
                </c:pt>
                <c:pt idx="26">
                  <c:v>85.921029410465479</c:v>
                </c:pt>
                <c:pt idx="27">
                  <c:v>85.876663712895677</c:v>
                </c:pt>
                <c:pt idx="28">
                  <c:v>86.147075681123511</c:v>
                </c:pt>
                <c:pt idx="29">
                  <c:v>86.499649155761304</c:v>
                </c:pt>
                <c:pt idx="30">
                  <c:v>85.291385912208582</c:v>
                </c:pt>
                <c:pt idx="31">
                  <c:v>83.062989987359742</c:v>
                </c:pt>
                <c:pt idx="32">
                  <c:v>84.501648252916524</c:v>
                </c:pt>
                <c:pt idx="33">
                  <c:v>84.640797585158225</c:v>
                </c:pt>
                <c:pt idx="34">
                  <c:v>84.678280410028478</c:v>
                </c:pt>
                <c:pt idx="35">
                  <c:v>85.753054976758008</c:v>
                </c:pt>
                <c:pt idx="36">
                  <c:v>85.839457497146299</c:v>
                </c:pt>
                <c:pt idx="37">
                  <c:v>84.937090324388819</c:v>
                </c:pt>
                <c:pt idx="38">
                  <c:v>83.842717759690444</c:v>
                </c:pt>
                <c:pt idx="39">
                  <c:v>85.487504737752019</c:v>
                </c:pt>
                <c:pt idx="40">
                  <c:v>84.648723421603592</c:v>
                </c:pt>
                <c:pt idx="41">
                  <c:v>84.827472828269165</c:v>
                </c:pt>
                <c:pt idx="42">
                  <c:v>85.241502911638079</c:v>
                </c:pt>
                <c:pt idx="43">
                  <c:v>84.767022972950627</c:v>
                </c:pt>
                <c:pt idx="44">
                  <c:v>86.047770606656812</c:v>
                </c:pt>
                <c:pt idx="45">
                  <c:v>85.656367042401456</c:v>
                </c:pt>
                <c:pt idx="46">
                  <c:v>85.114439040539366</c:v>
                </c:pt>
                <c:pt idx="47">
                  <c:v>84.730284786815687</c:v>
                </c:pt>
                <c:pt idx="48">
                  <c:v>84.67859445789469</c:v>
                </c:pt>
                <c:pt idx="49">
                  <c:v>85.339713220170594</c:v>
                </c:pt>
                <c:pt idx="50">
                  <c:v>84.693412537231012</c:v>
                </c:pt>
                <c:pt idx="51">
                  <c:v>84.739257753424937</c:v>
                </c:pt>
                <c:pt idx="52">
                  <c:v>84.148281305972887</c:v>
                </c:pt>
                <c:pt idx="53">
                  <c:v>84.392937274021762</c:v>
                </c:pt>
                <c:pt idx="54">
                  <c:v>83.619114601944474</c:v>
                </c:pt>
                <c:pt idx="55">
                  <c:v>83.07292839903856</c:v>
                </c:pt>
                <c:pt idx="56">
                  <c:v>83.670655001596089</c:v>
                </c:pt>
                <c:pt idx="57">
                  <c:v>83.861298764179082</c:v>
                </c:pt>
                <c:pt idx="58">
                  <c:v>84.751270353904488</c:v>
                </c:pt>
                <c:pt idx="59">
                  <c:v>84.322476209260785</c:v>
                </c:pt>
                <c:pt idx="60">
                  <c:v>84.070665722856717</c:v>
                </c:pt>
                <c:pt idx="61">
                  <c:v>83.462061935546203</c:v>
                </c:pt>
                <c:pt idx="62">
                  <c:v>83.265228628611339</c:v>
                </c:pt>
                <c:pt idx="63">
                  <c:v>83.145013993747398</c:v>
                </c:pt>
                <c:pt idx="64">
                  <c:v>83.273760159614</c:v>
                </c:pt>
                <c:pt idx="65">
                  <c:v>83.657747793302789</c:v>
                </c:pt>
                <c:pt idx="66">
                  <c:v>83.791050863114748</c:v>
                </c:pt>
                <c:pt idx="67">
                  <c:v>82.769078733577473</c:v>
                </c:pt>
                <c:pt idx="68">
                  <c:v>82.631831229797839</c:v>
                </c:pt>
                <c:pt idx="69">
                  <c:v>83.411217155770103</c:v>
                </c:pt>
                <c:pt idx="70">
                  <c:v>83.292325167568251</c:v>
                </c:pt>
                <c:pt idx="71">
                  <c:v>84.561968261106784</c:v>
                </c:pt>
                <c:pt idx="72">
                  <c:v>86.145448778684084</c:v>
                </c:pt>
                <c:pt idx="73">
                  <c:v>86.006492726133104</c:v>
                </c:pt>
                <c:pt idx="74">
                  <c:v>85.700419312593453</c:v>
                </c:pt>
                <c:pt idx="75">
                  <c:v>86.8514391920571</c:v>
                </c:pt>
                <c:pt idx="76">
                  <c:v>86.882951013197712</c:v>
                </c:pt>
                <c:pt idx="77">
                  <c:v>87.022710196006841</c:v>
                </c:pt>
                <c:pt idx="78">
                  <c:v>88.736077727633941</c:v>
                </c:pt>
                <c:pt idx="79">
                  <c:v>86.800995264659377</c:v>
                </c:pt>
                <c:pt idx="80">
                  <c:v>86.869415170683766</c:v>
                </c:pt>
                <c:pt idx="81">
                  <c:v>86.496285616970255</c:v>
                </c:pt>
                <c:pt idx="82">
                  <c:v>86.794987651188521</c:v>
                </c:pt>
                <c:pt idx="83">
                  <c:v>86.30540640594522</c:v>
                </c:pt>
                <c:pt idx="84">
                  <c:v>85.217298168254047</c:v>
                </c:pt>
                <c:pt idx="85">
                  <c:v>84.576628773323932</c:v>
                </c:pt>
                <c:pt idx="86">
                  <c:v>85.000595473202353</c:v>
                </c:pt>
                <c:pt idx="87">
                  <c:v>85.129978384060465</c:v>
                </c:pt>
                <c:pt idx="88">
                  <c:v>85.275111209313579</c:v>
                </c:pt>
                <c:pt idx="89">
                  <c:v>85.064935439220534</c:v>
                </c:pt>
                <c:pt idx="90">
                  <c:v>85.894963051043703</c:v>
                </c:pt>
                <c:pt idx="91">
                  <c:v>86.239076709989433</c:v>
                </c:pt>
                <c:pt idx="92">
                  <c:v>85.884317486990696</c:v>
                </c:pt>
                <c:pt idx="93">
                  <c:v>85.760095674439768</c:v>
                </c:pt>
                <c:pt idx="94">
                  <c:v>86.158262339905377</c:v>
                </c:pt>
                <c:pt idx="95">
                  <c:v>86.754974941461384</c:v>
                </c:pt>
                <c:pt idx="96">
                  <c:v>88.517532413794811</c:v>
                </c:pt>
                <c:pt idx="97">
                  <c:v>88.395907695540558</c:v>
                </c:pt>
                <c:pt idx="98">
                  <c:v>89.460985267417925</c:v>
                </c:pt>
                <c:pt idx="99">
                  <c:v>89.285142966973552</c:v>
                </c:pt>
                <c:pt idx="100">
                  <c:v>89.921843093669992</c:v>
                </c:pt>
                <c:pt idx="101">
                  <c:v>88.76009593592056</c:v>
                </c:pt>
                <c:pt idx="102">
                  <c:v>89.317751022237246</c:v>
                </c:pt>
                <c:pt idx="103">
                  <c:v>89.079594095134368</c:v>
                </c:pt>
                <c:pt idx="104">
                  <c:v>89.232963897367682</c:v>
                </c:pt>
                <c:pt idx="105">
                  <c:v>89.243980346899306</c:v>
                </c:pt>
                <c:pt idx="106">
                  <c:v>89.739417189727675</c:v>
                </c:pt>
                <c:pt idx="107">
                  <c:v>90.827508366676923</c:v>
                </c:pt>
                <c:pt idx="108">
                  <c:v>90.369185180404173</c:v>
                </c:pt>
                <c:pt idx="109">
                  <c:v>91.104774822093376</c:v>
                </c:pt>
                <c:pt idx="110">
                  <c:v>92.554485635288955</c:v>
                </c:pt>
                <c:pt idx="111">
                  <c:v>91.92859275720501</c:v>
                </c:pt>
                <c:pt idx="112">
                  <c:v>91.710143471056298</c:v>
                </c:pt>
                <c:pt idx="113">
                  <c:v>92.371951725844468</c:v>
                </c:pt>
                <c:pt idx="114">
                  <c:v>93.976221878784301</c:v>
                </c:pt>
                <c:pt idx="115">
                  <c:v>94.145133499091699</c:v>
                </c:pt>
                <c:pt idx="116">
                  <c:v>94.696102097220148</c:v>
                </c:pt>
                <c:pt idx="117">
                  <c:v>93.555021253955005</c:v>
                </c:pt>
                <c:pt idx="118">
                  <c:v>93.209126250307449</c:v>
                </c:pt>
                <c:pt idx="119">
                  <c:v>94.090262325689409</c:v>
                </c:pt>
                <c:pt idx="120">
                  <c:v>94.905267597509308</c:v>
                </c:pt>
                <c:pt idx="121">
                  <c:v>95.818594270503937</c:v>
                </c:pt>
                <c:pt idx="122">
                  <c:v>95.600174878407799</c:v>
                </c:pt>
                <c:pt idx="123">
                  <c:v>96.033002181974581</c:v>
                </c:pt>
                <c:pt idx="124">
                  <c:v>95.914638359225108</c:v>
                </c:pt>
                <c:pt idx="125">
                  <c:v>96.183237977041429</c:v>
                </c:pt>
                <c:pt idx="126">
                  <c:v>95.50533185220786</c:v>
                </c:pt>
                <c:pt idx="127">
                  <c:v>95.836793951349279</c:v>
                </c:pt>
                <c:pt idx="128">
                  <c:v>95.787733924466224</c:v>
                </c:pt>
                <c:pt idx="129">
                  <c:v>95.860055232605475</c:v>
                </c:pt>
                <c:pt idx="130">
                  <c:v>94.879750070508052</c:v>
                </c:pt>
                <c:pt idx="131">
                  <c:v>92.386055127825472</c:v>
                </c:pt>
                <c:pt idx="132">
                  <c:v>92.731533552492309</c:v>
                </c:pt>
                <c:pt idx="133">
                  <c:v>92.210808969595021</c:v>
                </c:pt>
                <c:pt idx="134">
                  <c:v>91.701338748908768</c:v>
                </c:pt>
                <c:pt idx="135">
                  <c:v>91.696018673934589</c:v>
                </c:pt>
                <c:pt idx="136">
                  <c:v>92.504849800051957</c:v>
                </c:pt>
                <c:pt idx="137">
                  <c:v>92.587702840659517</c:v>
                </c:pt>
                <c:pt idx="138">
                  <c:v>92.741161757985225</c:v>
                </c:pt>
                <c:pt idx="139">
                  <c:v>92.877652358355959</c:v>
                </c:pt>
                <c:pt idx="140">
                  <c:v>93.274536403046667</c:v>
                </c:pt>
                <c:pt idx="141">
                  <c:v>92.668256834342515</c:v>
                </c:pt>
                <c:pt idx="142">
                  <c:v>93.955311307341759</c:v>
                </c:pt>
                <c:pt idx="143">
                  <c:v>92.670355083990671</c:v>
                </c:pt>
                <c:pt idx="144">
                  <c:v>91.716740921960124</c:v>
                </c:pt>
                <c:pt idx="145">
                  <c:v>90.813799008658194</c:v>
                </c:pt>
                <c:pt idx="146">
                  <c:v>91.572883360284479</c:v>
                </c:pt>
                <c:pt idx="147">
                  <c:v>92.920618618323417</c:v>
                </c:pt>
                <c:pt idx="148">
                  <c:v>92.772930663173995</c:v>
                </c:pt>
                <c:pt idx="149">
                  <c:v>92.127217624943384</c:v>
                </c:pt>
                <c:pt idx="150">
                  <c:v>92.526238634088614</c:v>
                </c:pt>
                <c:pt idx="151">
                  <c:v>91.437144159755746</c:v>
                </c:pt>
                <c:pt idx="152">
                  <c:v>92.073159943353176</c:v>
                </c:pt>
                <c:pt idx="153">
                  <c:v>93.278015795062387</c:v>
                </c:pt>
                <c:pt idx="154">
                  <c:v>93.731129129613109</c:v>
                </c:pt>
                <c:pt idx="155">
                  <c:v>94.687933790436844</c:v>
                </c:pt>
                <c:pt idx="156">
                  <c:v>94.328397901738285</c:v>
                </c:pt>
                <c:pt idx="157">
                  <c:v>93.662859761614854</c:v>
                </c:pt>
                <c:pt idx="158">
                  <c:v>94.091204099526593</c:v>
                </c:pt>
                <c:pt idx="159">
                  <c:v>93.102479661498691</c:v>
                </c:pt>
                <c:pt idx="160">
                  <c:v>92.642632972055566</c:v>
                </c:pt>
                <c:pt idx="161">
                  <c:v>91.434297407995359</c:v>
                </c:pt>
                <c:pt idx="162">
                  <c:v>90.681578608007342</c:v>
                </c:pt>
                <c:pt idx="163">
                  <c:v>91.18279250295025</c:v>
                </c:pt>
                <c:pt idx="164">
                  <c:v>91.638179869373772</c:v>
                </c:pt>
                <c:pt idx="165">
                  <c:v>91.123068472682206</c:v>
                </c:pt>
                <c:pt idx="166">
                  <c:v>90.740187934016788</c:v>
                </c:pt>
                <c:pt idx="167">
                  <c:v>91.565318818333637</c:v>
                </c:pt>
                <c:pt idx="168">
                  <c:v>92.285017089180116</c:v>
                </c:pt>
                <c:pt idx="169">
                  <c:v>92.798383779180114</c:v>
                </c:pt>
                <c:pt idx="170">
                  <c:v>93.187641988745142</c:v>
                </c:pt>
                <c:pt idx="171">
                  <c:v>91.41380410231443</c:v>
                </c:pt>
                <c:pt idx="172">
                  <c:v>90.904988634616444</c:v>
                </c:pt>
                <c:pt idx="173">
                  <c:v>91.450704952608248</c:v>
                </c:pt>
                <c:pt idx="174">
                  <c:v>91.387334179334772</c:v>
                </c:pt>
                <c:pt idx="175">
                  <c:v>91.294291780656906</c:v>
                </c:pt>
                <c:pt idx="176">
                  <c:v>91.260783936881083</c:v>
                </c:pt>
                <c:pt idx="177">
                  <c:v>91.920699553773872</c:v>
                </c:pt>
                <c:pt idx="178">
                  <c:v>91.968402615212611</c:v>
                </c:pt>
                <c:pt idx="179">
                  <c:v>93.108623063101064</c:v>
                </c:pt>
                <c:pt idx="180">
                  <c:v>93.57089650075288</c:v>
                </c:pt>
                <c:pt idx="181">
                  <c:v>93.216469278984562</c:v>
                </c:pt>
                <c:pt idx="182">
                  <c:v>93.859404187254881</c:v>
                </c:pt>
                <c:pt idx="183">
                  <c:v>93.38718098770147</c:v>
                </c:pt>
                <c:pt idx="184">
                  <c:v>93.173074943805531</c:v>
                </c:pt>
                <c:pt idx="185">
                  <c:v>92.717534030045655</c:v>
                </c:pt>
                <c:pt idx="186">
                  <c:v>91.127539394512965</c:v>
                </c:pt>
                <c:pt idx="187">
                  <c:v>90.876523892360609</c:v>
                </c:pt>
                <c:pt idx="188">
                  <c:v>90.797732838223325</c:v>
                </c:pt>
                <c:pt idx="189">
                  <c:v>92.04524157112715</c:v>
                </c:pt>
                <c:pt idx="190">
                  <c:v>91.705265939809379</c:v>
                </c:pt>
                <c:pt idx="191">
                  <c:v>89.623142263839</c:v>
                </c:pt>
                <c:pt idx="192">
                  <c:v>89.287608325562815</c:v>
                </c:pt>
                <c:pt idx="193">
                  <c:v>90.052139293961304</c:v>
                </c:pt>
                <c:pt idx="194">
                  <c:v>89.485608007968608</c:v>
                </c:pt>
                <c:pt idx="195">
                  <c:v>88.810741607897839</c:v>
                </c:pt>
                <c:pt idx="196">
                  <c:v>88.370418775243309</c:v>
                </c:pt>
                <c:pt idx="197">
                  <c:v>87.979766908278805</c:v>
                </c:pt>
                <c:pt idx="198">
                  <c:v>89.116105561722478</c:v>
                </c:pt>
                <c:pt idx="199">
                  <c:v>90.432754454562541</c:v>
                </c:pt>
                <c:pt idx="200">
                  <c:v>89.672637596743726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D9-406C-8B04-786BF3A9579A}"/>
            </c:ext>
          </c:extLst>
        </c:ser>
        <c:ser>
          <c:idx val="4"/>
          <c:order val="4"/>
          <c:tx>
            <c:strRef>
              <c:f>'Monte Carlo'!$E$1</c:f>
              <c:strCache>
                <c:ptCount val="1"/>
                <c:pt idx="0">
                  <c:v>S4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'Monte Carlo'!$E$2:$E$202</c:f>
              <c:numCache>
                <c:formatCode>General</c:formatCode>
                <c:ptCount val="201"/>
                <c:pt idx="0">
                  <c:v>80</c:v>
                </c:pt>
                <c:pt idx="1">
                  <c:v>81.369993848853056</c:v>
                </c:pt>
                <c:pt idx="2">
                  <c:v>80.457405327886676</c:v>
                </c:pt>
                <c:pt idx="3">
                  <c:v>80.725751589301865</c:v>
                </c:pt>
                <c:pt idx="4">
                  <c:v>81.140561911217034</c:v>
                </c:pt>
                <c:pt idx="5">
                  <c:v>82.71693661004052</c:v>
                </c:pt>
                <c:pt idx="6">
                  <c:v>82.074932959154708</c:v>
                </c:pt>
                <c:pt idx="7">
                  <c:v>81.216593786483656</c:v>
                </c:pt>
                <c:pt idx="8">
                  <c:v>81.220287912133955</c:v>
                </c:pt>
                <c:pt idx="9">
                  <c:v>81.73574194807442</c:v>
                </c:pt>
                <c:pt idx="10">
                  <c:v>81.355145428084001</c:v>
                </c:pt>
                <c:pt idx="11">
                  <c:v>81.360795088393502</c:v>
                </c:pt>
                <c:pt idx="12">
                  <c:v>81.12818026471713</c:v>
                </c:pt>
                <c:pt idx="13">
                  <c:v>81.832146426130436</c:v>
                </c:pt>
                <c:pt idx="14">
                  <c:v>81.692275174807065</c:v>
                </c:pt>
                <c:pt idx="15">
                  <c:v>81.219037051690464</c:v>
                </c:pt>
                <c:pt idx="16">
                  <c:v>81.596438914984319</c:v>
                </c:pt>
                <c:pt idx="17">
                  <c:v>80.930054006374505</c:v>
                </c:pt>
                <c:pt idx="18">
                  <c:v>81.505734089689426</c:v>
                </c:pt>
                <c:pt idx="19">
                  <c:v>82.066990662446557</c:v>
                </c:pt>
                <c:pt idx="20">
                  <c:v>80.675249823079866</c:v>
                </c:pt>
                <c:pt idx="21">
                  <c:v>80.175115944244368</c:v>
                </c:pt>
                <c:pt idx="22">
                  <c:v>80.466298031607167</c:v>
                </c:pt>
                <c:pt idx="23">
                  <c:v>78.925827698646316</c:v>
                </c:pt>
                <c:pt idx="24">
                  <c:v>79.413322039412364</c:v>
                </c:pt>
                <c:pt idx="25">
                  <c:v>79.766030453949483</c:v>
                </c:pt>
                <c:pt idx="26">
                  <c:v>79.474734080660852</c:v>
                </c:pt>
                <c:pt idx="27">
                  <c:v>79.507789913711619</c:v>
                </c:pt>
                <c:pt idx="28">
                  <c:v>78.374273955882856</c:v>
                </c:pt>
                <c:pt idx="29">
                  <c:v>78.086685882928421</c:v>
                </c:pt>
                <c:pt idx="30">
                  <c:v>79.300000345446122</c:v>
                </c:pt>
                <c:pt idx="31">
                  <c:v>78.670387176161526</c:v>
                </c:pt>
                <c:pt idx="32">
                  <c:v>78.534673405646188</c:v>
                </c:pt>
                <c:pt idx="33">
                  <c:v>78.551050826402374</c:v>
                </c:pt>
                <c:pt idx="34">
                  <c:v>79.373452373421813</c:v>
                </c:pt>
                <c:pt idx="35">
                  <c:v>79.805171601264576</c:v>
                </c:pt>
                <c:pt idx="36">
                  <c:v>78.842429106398512</c:v>
                </c:pt>
                <c:pt idx="37">
                  <c:v>78.448945114136606</c:v>
                </c:pt>
                <c:pt idx="38">
                  <c:v>77.418522689563346</c:v>
                </c:pt>
                <c:pt idx="39">
                  <c:v>77.187565430245527</c:v>
                </c:pt>
                <c:pt idx="40">
                  <c:v>76.263461379556588</c:v>
                </c:pt>
                <c:pt idx="41">
                  <c:v>75.919026417797397</c:v>
                </c:pt>
                <c:pt idx="42">
                  <c:v>74.774685573736676</c:v>
                </c:pt>
                <c:pt idx="43">
                  <c:v>75.082140363758427</c:v>
                </c:pt>
                <c:pt idx="44">
                  <c:v>74.562675930792878</c:v>
                </c:pt>
                <c:pt idx="45">
                  <c:v>73.693798725418759</c:v>
                </c:pt>
                <c:pt idx="46">
                  <c:v>73.695278227159847</c:v>
                </c:pt>
                <c:pt idx="47">
                  <c:v>74.403266560955032</c:v>
                </c:pt>
                <c:pt idx="48">
                  <c:v>73.687304965696157</c:v>
                </c:pt>
                <c:pt idx="49">
                  <c:v>73.392156037586744</c:v>
                </c:pt>
                <c:pt idx="50">
                  <c:v>72.846734921337884</c:v>
                </c:pt>
                <c:pt idx="51">
                  <c:v>73.06959586959168</c:v>
                </c:pt>
                <c:pt idx="52">
                  <c:v>73.603701173195475</c:v>
                </c:pt>
                <c:pt idx="53">
                  <c:v>73.266786816314806</c:v>
                </c:pt>
                <c:pt idx="54">
                  <c:v>73.236840866404535</c:v>
                </c:pt>
                <c:pt idx="55">
                  <c:v>72.337278613428779</c:v>
                </c:pt>
                <c:pt idx="56">
                  <c:v>72.594816838438078</c:v>
                </c:pt>
                <c:pt idx="57">
                  <c:v>73.096030006579639</c:v>
                </c:pt>
                <c:pt idx="58">
                  <c:v>72.664825043136915</c:v>
                </c:pt>
                <c:pt idx="59">
                  <c:v>72.057930592001654</c:v>
                </c:pt>
                <c:pt idx="60">
                  <c:v>70.731621687691529</c:v>
                </c:pt>
                <c:pt idx="61">
                  <c:v>70.9523045275984</c:v>
                </c:pt>
                <c:pt idx="62">
                  <c:v>70.25186743048279</c:v>
                </c:pt>
                <c:pt idx="63">
                  <c:v>70.438139276935019</c:v>
                </c:pt>
                <c:pt idx="64">
                  <c:v>69.987659462338357</c:v>
                </c:pt>
                <c:pt idx="65">
                  <c:v>70.373969703999251</c:v>
                </c:pt>
                <c:pt idx="66">
                  <c:v>69.637883579042892</c:v>
                </c:pt>
                <c:pt idx="67">
                  <c:v>68.336738100262053</c:v>
                </c:pt>
                <c:pt idx="68">
                  <c:v>67.83166990417142</c:v>
                </c:pt>
                <c:pt idx="69">
                  <c:v>68.682709541133548</c:v>
                </c:pt>
                <c:pt idx="70">
                  <c:v>68.826312458248395</c:v>
                </c:pt>
                <c:pt idx="71">
                  <c:v>68.123431794696927</c:v>
                </c:pt>
                <c:pt idx="72">
                  <c:v>68.57679005324897</c:v>
                </c:pt>
                <c:pt idx="73">
                  <c:v>67.927021611485458</c:v>
                </c:pt>
                <c:pt idx="74">
                  <c:v>67.834043556863264</c:v>
                </c:pt>
                <c:pt idx="75">
                  <c:v>67.248301821519291</c:v>
                </c:pt>
                <c:pt idx="76">
                  <c:v>66.326268478780321</c:v>
                </c:pt>
                <c:pt idx="77">
                  <c:v>66.034761636399082</c:v>
                </c:pt>
                <c:pt idx="78">
                  <c:v>65.920361784744813</c:v>
                </c:pt>
                <c:pt idx="79">
                  <c:v>66.078804586850481</c:v>
                </c:pt>
                <c:pt idx="80">
                  <c:v>67.210244223661888</c:v>
                </c:pt>
                <c:pt idx="81">
                  <c:v>67.802196944999835</c:v>
                </c:pt>
                <c:pt idx="82">
                  <c:v>67.955442511736351</c:v>
                </c:pt>
                <c:pt idx="83">
                  <c:v>66.746387125418607</c:v>
                </c:pt>
                <c:pt idx="84">
                  <c:v>66.864112639901109</c:v>
                </c:pt>
                <c:pt idx="85">
                  <c:v>68.247134369093388</c:v>
                </c:pt>
                <c:pt idx="86">
                  <c:v>67.658033071030545</c:v>
                </c:pt>
                <c:pt idx="87">
                  <c:v>67.363015766168388</c:v>
                </c:pt>
                <c:pt idx="88">
                  <c:v>66.813900958270722</c:v>
                </c:pt>
                <c:pt idx="89">
                  <c:v>66.732550678809162</c:v>
                </c:pt>
                <c:pt idx="90">
                  <c:v>66.374693699196399</c:v>
                </c:pt>
                <c:pt idx="91">
                  <c:v>66.456374714844884</c:v>
                </c:pt>
                <c:pt idx="92">
                  <c:v>66.357592606880218</c:v>
                </c:pt>
                <c:pt idx="93">
                  <c:v>67.330233953853579</c:v>
                </c:pt>
                <c:pt idx="94">
                  <c:v>67.505474125782968</c:v>
                </c:pt>
                <c:pt idx="95">
                  <c:v>67.73360046606166</c:v>
                </c:pt>
                <c:pt idx="96">
                  <c:v>68.916853245347795</c:v>
                </c:pt>
                <c:pt idx="97">
                  <c:v>67.628232814189602</c:v>
                </c:pt>
                <c:pt idx="98">
                  <c:v>66.785952896058873</c:v>
                </c:pt>
                <c:pt idx="99">
                  <c:v>66.69913861755002</c:v>
                </c:pt>
                <c:pt idx="100">
                  <c:v>68.191311517496942</c:v>
                </c:pt>
                <c:pt idx="101">
                  <c:v>66.989457675502578</c:v>
                </c:pt>
                <c:pt idx="102">
                  <c:v>67.216352167746393</c:v>
                </c:pt>
                <c:pt idx="103">
                  <c:v>67.314564688734748</c:v>
                </c:pt>
                <c:pt idx="104">
                  <c:v>66.782722050202182</c:v>
                </c:pt>
                <c:pt idx="105">
                  <c:v>66.580086116506365</c:v>
                </c:pt>
                <c:pt idx="106">
                  <c:v>65.996325012356792</c:v>
                </c:pt>
                <c:pt idx="107">
                  <c:v>66.125092998232276</c:v>
                </c:pt>
                <c:pt idx="108">
                  <c:v>65.302409920326255</c:v>
                </c:pt>
                <c:pt idx="109">
                  <c:v>64.974718102930396</c:v>
                </c:pt>
                <c:pt idx="110">
                  <c:v>65.355817384154093</c:v>
                </c:pt>
                <c:pt idx="111">
                  <c:v>65.468559741966018</c:v>
                </c:pt>
                <c:pt idx="112">
                  <c:v>65.960756476284828</c:v>
                </c:pt>
                <c:pt idx="113">
                  <c:v>65.524904709674132</c:v>
                </c:pt>
                <c:pt idx="114">
                  <c:v>65.302167313207278</c:v>
                </c:pt>
                <c:pt idx="115">
                  <c:v>64.695060380337196</c:v>
                </c:pt>
                <c:pt idx="116">
                  <c:v>65.506249520539114</c:v>
                </c:pt>
                <c:pt idx="117">
                  <c:v>65.668341200982383</c:v>
                </c:pt>
                <c:pt idx="118">
                  <c:v>66.189642530384191</c:v>
                </c:pt>
                <c:pt idx="119">
                  <c:v>66.469939564419775</c:v>
                </c:pt>
                <c:pt idx="120">
                  <c:v>65.858382201108626</c:v>
                </c:pt>
                <c:pt idx="121">
                  <c:v>65.960879012488107</c:v>
                </c:pt>
                <c:pt idx="122">
                  <c:v>66.56561069773602</c:v>
                </c:pt>
                <c:pt idx="123">
                  <c:v>67.341263275825654</c:v>
                </c:pt>
                <c:pt idx="124">
                  <c:v>67.203748291499039</c:v>
                </c:pt>
                <c:pt idx="125">
                  <c:v>66.525523356212162</c:v>
                </c:pt>
                <c:pt idx="126">
                  <c:v>66.282959668325063</c:v>
                </c:pt>
                <c:pt idx="127">
                  <c:v>66.831339881461332</c:v>
                </c:pt>
                <c:pt idx="128">
                  <c:v>67.985065848590821</c:v>
                </c:pt>
                <c:pt idx="129">
                  <c:v>67.495098572515886</c:v>
                </c:pt>
                <c:pt idx="130">
                  <c:v>67.825478283021368</c:v>
                </c:pt>
                <c:pt idx="131">
                  <c:v>67.529125108293016</c:v>
                </c:pt>
                <c:pt idx="132">
                  <c:v>68.078198713736185</c:v>
                </c:pt>
                <c:pt idx="133">
                  <c:v>68.161954546028198</c:v>
                </c:pt>
                <c:pt idx="134">
                  <c:v>68.845197451598082</c:v>
                </c:pt>
                <c:pt idx="135">
                  <c:v>69.269677281905999</c:v>
                </c:pt>
                <c:pt idx="136">
                  <c:v>68.575230406337539</c:v>
                </c:pt>
                <c:pt idx="137">
                  <c:v>67.440604715996002</c:v>
                </c:pt>
                <c:pt idx="138">
                  <c:v>67.783984487507098</c:v>
                </c:pt>
                <c:pt idx="139">
                  <c:v>68.075469430019993</c:v>
                </c:pt>
                <c:pt idx="140">
                  <c:v>68.715536871557816</c:v>
                </c:pt>
                <c:pt idx="141">
                  <c:v>69.164391083499183</c:v>
                </c:pt>
                <c:pt idx="142">
                  <c:v>70.192774749956754</c:v>
                </c:pt>
                <c:pt idx="143">
                  <c:v>70.932056448407351</c:v>
                </c:pt>
                <c:pt idx="144">
                  <c:v>71.275805506429933</c:v>
                </c:pt>
                <c:pt idx="145">
                  <c:v>71.157873098249382</c:v>
                </c:pt>
                <c:pt idx="146">
                  <c:v>70.389444613044674</c:v>
                </c:pt>
                <c:pt idx="147">
                  <c:v>70.400042831024848</c:v>
                </c:pt>
                <c:pt idx="148">
                  <c:v>70.611190316315856</c:v>
                </c:pt>
                <c:pt idx="149">
                  <c:v>71.250264183550854</c:v>
                </c:pt>
                <c:pt idx="150">
                  <c:v>71.44897414864532</c:v>
                </c:pt>
                <c:pt idx="151">
                  <c:v>71.311015628616644</c:v>
                </c:pt>
                <c:pt idx="152">
                  <c:v>72.333123828486549</c:v>
                </c:pt>
                <c:pt idx="153">
                  <c:v>72.454558892456234</c:v>
                </c:pt>
                <c:pt idx="154">
                  <c:v>72.181355620300351</c:v>
                </c:pt>
                <c:pt idx="155">
                  <c:v>72.438719542369441</c:v>
                </c:pt>
                <c:pt idx="156">
                  <c:v>74.231020110471547</c:v>
                </c:pt>
                <c:pt idx="157">
                  <c:v>75.031039184905524</c:v>
                </c:pt>
                <c:pt idx="158">
                  <c:v>75.535147069031581</c:v>
                </c:pt>
                <c:pt idx="159">
                  <c:v>75.243232896855005</c:v>
                </c:pt>
                <c:pt idx="160">
                  <c:v>74.028771367354665</c:v>
                </c:pt>
                <c:pt idx="161">
                  <c:v>72.402210242696043</c:v>
                </c:pt>
                <c:pt idx="162">
                  <c:v>72.79436365966788</c:v>
                </c:pt>
                <c:pt idx="163">
                  <c:v>73.270548999373148</c:v>
                </c:pt>
                <c:pt idx="164">
                  <c:v>73.100800338479573</c:v>
                </c:pt>
                <c:pt idx="165">
                  <c:v>74.57410343210482</c:v>
                </c:pt>
                <c:pt idx="166">
                  <c:v>75.652431379811262</c:v>
                </c:pt>
                <c:pt idx="167">
                  <c:v>75.669582669954465</c:v>
                </c:pt>
                <c:pt idx="168">
                  <c:v>76.933203177949579</c:v>
                </c:pt>
                <c:pt idx="169">
                  <c:v>77.277532309992992</c:v>
                </c:pt>
                <c:pt idx="170">
                  <c:v>76.469550928455163</c:v>
                </c:pt>
                <c:pt idx="171">
                  <c:v>76.535063686620219</c:v>
                </c:pt>
                <c:pt idx="172">
                  <c:v>76.768494987272945</c:v>
                </c:pt>
                <c:pt idx="173">
                  <c:v>75.6572964720595</c:v>
                </c:pt>
                <c:pt idx="174">
                  <c:v>75.844803326018862</c:v>
                </c:pt>
                <c:pt idx="175">
                  <c:v>75.370148961037572</c:v>
                </c:pt>
                <c:pt idx="176">
                  <c:v>74.953846719810628</c:v>
                </c:pt>
                <c:pt idx="177">
                  <c:v>74.651354534972754</c:v>
                </c:pt>
                <c:pt idx="178">
                  <c:v>74.645013289204144</c:v>
                </c:pt>
                <c:pt idx="179">
                  <c:v>75.02527319664317</c:v>
                </c:pt>
                <c:pt idx="180">
                  <c:v>73.700499136145979</c:v>
                </c:pt>
                <c:pt idx="181">
                  <c:v>72.775478426424783</c:v>
                </c:pt>
                <c:pt idx="182">
                  <c:v>73.405618660661148</c:v>
                </c:pt>
                <c:pt idx="183">
                  <c:v>72.662200926551606</c:v>
                </c:pt>
                <c:pt idx="184">
                  <c:v>72.51273621357231</c:v>
                </c:pt>
                <c:pt idx="185">
                  <c:v>73.05602529396505</c:v>
                </c:pt>
                <c:pt idx="186">
                  <c:v>73.406696110848358</c:v>
                </c:pt>
                <c:pt idx="187">
                  <c:v>73.584899179720679</c:v>
                </c:pt>
                <c:pt idx="188">
                  <c:v>74.557197316531898</c:v>
                </c:pt>
                <c:pt idx="189">
                  <c:v>74.786458493904149</c:v>
                </c:pt>
                <c:pt idx="190">
                  <c:v>74.989828989920682</c:v>
                </c:pt>
                <c:pt idx="191">
                  <c:v>74.912819072903247</c:v>
                </c:pt>
                <c:pt idx="192">
                  <c:v>74.036835402556747</c:v>
                </c:pt>
                <c:pt idx="193">
                  <c:v>73.958167956343999</c:v>
                </c:pt>
                <c:pt idx="194">
                  <c:v>73.847635344565376</c:v>
                </c:pt>
                <c:pt idx="195">
                  <c:v>73.967101802488799</c:v>
                </c:pt>
                <c:pt idx="196">
                  <c:v>75.532418299658318</c:v>
                </c:pt>
                <c:pt idx="197">
                  <c:v>75.28790542187545</c:v>
                </c:pt>
                <c:pt idx="198">
                  <c:v>75.211351037938627</c:v>
                </c:pt>
                <c:pt idx="199">
                  <c:v>75.410648803203941</c:v>
                </c:pt>
                <c:pt idx="200">
                  <c:v>75.852727029090644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D9-406C-8B04-786BF3A9579A}"/>
            </c:ext>
          </c:extLst>
        </c:ser>
        <c:ser>
          <c:idx val="5"/>
          <c:order val="5"/>
          <c:tx>
            <c:strRef>
              <c:f>'Monte Carlo'!$F$1</c:f>
              <c:strCache>
                <c:ptCount val="1"/>
                <c:pt idx="0">
                  <c:v>S5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'Monte Carlo'!$F$2:$F$202</c:f>
              <c:numCache>
                <c:formatCode>General</c:formatCode>
                <c:ptCount val="201"/>
                <c:pt idx="0">
                  <c:v>80</c:v>
                </c:pt>
                <c:pt idx="1">
                  <c:v>81.273195501311449</c:v>
                </c:pt>
                <c:pt idx="2">
                  <c:v>80.317868719974797</c:v>
                </c:pt>
                <c:pt idx="3">
                  <c:v>80.149984382865583</c:v>
                </c:pt>
                <c:pt idx="4">
                  <c:v>79.85333433090122</c:v>
                </c:pt>
                <c:pt idx="5">
                  <c:v>79.906943025839823</c:v>
                </c:pt>
                <c:pt idx="6">
                  <c:v>79.930901595359842</c:v>
                </c:pt>
                <c:pt idx="7">
                  <c:v>79.049845427212986</c:v>
                </c:pt>
                <c:pt idx="8">
                  <c:v>79.954457640690549</c:v>
                </c:pt>
                <c:pt idx="9">
                  <c:v>80.496919797372328</c:v>
                </c:pt>
                <c:pt idx="10">
                  <c:v>79.804288632142487</c:v>
                </c:pt>
                <c:pt idx="11">
                  <c:v>79.94965865007461</c:v>
                </c:pt>
                <c:pt idx="12">
                  <c:v>80.485816348954415</c:v>
                </c:pt>
                <c:pt idx="13">
                  <c:v>80.708085476877216</c:v>
                </c:pt>
                <c:pt idx="14">
                  <c:v>79.518110065205377</c:v>
                </c:pt>
                <c:pt idx="15">
                  <c:v>78.735137387003945</c:v>
                </c:pt>
                <c:pt idx="16">
                  <c:v>77.763102403040961</c:v>
                </c:pt>
                <c:pt idx="17">
                  <c:v>77.526896581618956</c:v>
                </c:pt>
                <c:pt idx="18">
                  <c:v>77.55338270016037</c:v>
                </c:pt>
                <c:pt idx="19">
                  <c:v>77.938538590815043</c:v>
                </c:pt>
                <c:pt idx="20">
                  <c:v>78.518625103937211</c:v>
                </c:pt>
                <c:pt idx="21">
                  <c:v>78.686567400558289</c:v>
                </c:pt>
                <c:pt idx="22">
                  <c:v>78.108279727978427</c:v>
                </c:pt>
                <c:pt idx="23">
                  <c:v>77.843152154773364</c:v>
                </c:pt>
                <c:pt idx="24">
                  <c:v>77.799010600004706</c:v>
                </c:pt>
                <c:pt idx="25">
                  <c:v>78.069452611052824</c:v>
                </c:pt>
                <c:pt idx="26">
                  <c:v>77.342121250489285</c:v>
                </c:pt>
                <c:pt idx="27">
                  <c:v>76.386202607574461</c:v>
                </c:pt>
                <c:pt idx="28">
                  <c:v>76.745290746701954</c:v>
                </c:pt>
                <c:pt idx="29">
                  <c:v>76.895128823708191</c:v>
                </c:pt>
                <c:pt idx="30">
                  <c:v>75.914370294190377</c:v>
                </c:pt>
                <c:pt idx="31">
                  <c:v>75.093535006870624</c:v>
                </c:pt>
                <c:pt idx="32">
                  <c:v>76.056996938942845</c:v>
                </c:pt>
                <c:pt idx="33">
                  <c:v>76.451248589776569</c:v>
                </c:pt>
                <c:pt idx="34">
                  <c:v>75.855328317385784</c:v>
                </c:pt>
                <c:pt idx="35">
                  <c:v>75.673433495076068</c:v>
                </c:pt>
                <c:pt idx="36">
                  <c:v>75.589624490545489</c:v>
                </c:pt>
                <c:pt idx="37">
                  <c:v>74.996036615061286</c:v>
                </c:pt>
                <c:pt idx="38">
                  <c:v>75.223420068636599</c:v>
                </c:pt>
                <c:pt idx="39">
                  <c:v>75.170488933922144</c:v>
                </c:pt>
                <c:pt idx="40">
                  <c:v>75.27257584943095</c:v>
                </c:pt>
                <c:pt idx="41">
                  <c:v>74.721496150378869</c:v>
                </c:pt>
                <c:pt idx="42">
                  <c:v>74.410589947285573</c:v>
                </c:pt>
                <c:pt idx="43">
                  <c:v>73.998696285128474</c:v>
                </c:pt>
                <c:pt idx="44">
                  <c:v>73.943876512301657</c:v>
                </c:pt>
                <c:pt idx="45">
                  <c:v>74.685419820828159</c:v>
                </c:pt>
                <c:pt idx="46">
                  <c:v>74.148875651067797</c:v>
                </c:pt>
                <c:pt idx="47">
                  <c:v>74.510828261474558</c:v>
                </c:pt>
                <c:pt idx="48">
                  <c:v>75.087039157181025</c:v>
                </c:pt>
                <c:pt idx="49">
                  <c:v>75.009751452921037</c:v>
                </c:pt>
                <c:pt idx="50">
                  <c:v>74.674907310300242</c:v>
                </c:pt>
                <c:pt idx="51">
                  <c:v>73.692140780734547</c:v>
                </c:pt>
                <c:pt idx="52">
                  <c:v>73.236483325796002</c:v>
                </c:pt>
                <c:pt idx="53">
                  <c:v>73.606568690897944</c:v>
                </c:pt>
                <c:pt idx="54">
                  <c:v>71.552302069652725</c:v>
                </c:pt>
                <c:pt idx="55">
                  <c:v>70.882583390359457</c:v>
                </c:pt>
                <c:pt idx="56">
                  <c:v>71.851206403466719</c:v>
                </c:pt>
                <c:pt idx="57">
                  <c:v>72.080235498457597</c:v>
                </c:pt>
                <c:pt idx="58">
                  <c:v>72.470018240317046</c:v>
                </c:pt>
                <c:pt idx="59">
                  <c:v>73.048815992656344</c:v>
                </c:pt>
                <c:pt idx="60">
                  <c:v>73.682630690612399</c:v>
                </c:pt>
                <c:pt idx="61">
                  <c:v>73.719345578827344</c:v>
                </c:pt>
                <c:pt idx="62">
                  <c:v>73.409152322141836</c:v>
                </c:pt>
                <c:pt idx="63">
                  <c:v>72.874774439581515</c:v>
                </c:pt>
                <c:pt idx="64">
                  <c:v>72.709437081615434</c:v>
                </c:pt>
                <c:pt idx="65">
                  <c:v>72.757503694854648</c:v>
                </c:pt>
                <c:pt idx="66">
                  <c:v>72.593917418196796</c:v>
                </c:pt>
                <c:pt idx="67">
                  <c:v>72.159175579988073</c:v>
                </c:pt>
                <c:pt idx="68">
                  <c:v>72.478763533544225</c:v>
                </c:pt>
                <c:pt idx="69">
                  <c:v>71.991415534390427</c:v>
                </c:pt>
                <c:pt idx="70">
                  <c:v>71.258035898956038</c:v>
                </c:pt>
                <c:pt idx="71">
                  <c:v>72.418703738859534</c:v>
                </c:pt>
                <c:pt idx="72">
                  <c:v>71.850499902343515</c:v>
                </c:pt>
                <c:pt idx="73">
                  <c:v>71.667311925704112</c:v>
                </c:pt>
                <c:pt idx="74">
                  <c:v>72.138408149536602</c:v>
                </c:pt>
                <c:pt idx="75">
                  <c:v>70.649175123256811</c:v>
                </c:pt>
                <c:pt idx="76">
                  <c:v>70.047099076754762</c:v>
                </c:pt>
                <c:pt idx="77">
                  <c:v>70.003148212959744</c:v>
                </c:pt>
                <c:pt idx="78">
                  <c:v>70.091346056308481</c:v>
                </c:pt>
                <c:pt idx="79">
                  <c:v>70.053004746753089</c:v>
                </c:pt>
                <c:pt idx="80">
                  <c:v>68.598119972340612</c:v>
                </c:pt>
                <c:pt idx="81">
                  <c:v>68.88920834235401</c:v>
                </c:pt>
                <c:pt idx="82">
                  <c:v>70.250072548651019</c:v>
                </c:pt>
                <c:pt idx="83">
                  <c:v>70.767140939606222</c:v>
                </c:pt>
                <c:pt idx="84">
                  <c:v>71.73664418571272</c:v>
                </c:pt>
                <c:pt idx="85">
                  <c:v>72.040449620128868</c:v>
                </c:pt>
                <c:pt idx="86">
                  <c:v>72.136349232252627</c:v>
                </c:pt>
                <c:pt idx="87">
                  <c:v>72.251359950281625</c:v>
                </c:pt>
                <c:pt idx="88">
                  <c:v>71.995599907495617</c:v>
                </c:pt>
                <c:pt idx="89">
                  <c:v>72.654570191821165</c:v>
                </c:pt>
                <c:pt idx="90">
                  <c:v>73.4842607660824</c:v>
                </c:pt>
                <c:pt idx="91">
                  <c:v>73.443595217185646</c:v>
                </c:pt>
                <c:pt idx="92">
                  <c:v>73.102051421749792</c:v>
                </c:pt>
                <c:pt idx="93">
                  <c:v>73.831497884819569</c:v>
                </c:pt>
                <c:pt idx="94">
                  <c:v>73.264225771141938</c:v>
                </c:pt>
                <c:pt idx="95">
                  <c:v>72.334245361802019</c:v>
                </c:pt>
                <c:pt idx="96">
                  <c:v>72.368223745007185</c:v>
                </c:pt>
                <c:pt idx="97">
                  <c:v>71.968278974605212</c:v>
                </c:pt>
                <c:pt idx="98">
                  <c:v>71.817859566793032</c:v>
                </c:pt>
                <c:pt idx="99">
                  <c:v>72.008164304491174</c:v>
                </c:pt>
                <c:pt idx="100">
                  <c:v>73.206255301495545</c:v>
                </c:pt>
                <c:pt idx="101">
                  <c:v>73.938990302227367</c:v>
                </c:pt>
                <c:pt idx="102">
                  <c:v>74.115052376231603</c:v>
                </c:pt>
                <c:pt idx="103">
                  <c:v>74.052927003452538</c:v>
                </c:pt>
                <c:pt idx="104">
                  <c:v>72.971145526990043</c:v>
                </c:pt>
                <c:pt idx="105">
                  <c:v>73.149866971523522</c:v>
                </c:pt>
                <c:pt idx="106">
                  <c:v>73.224018355163452</c:v>
                </c:pt>
                <c:pt idx="107">
                  <c:v>72.663056667187149</c:v>
                </c:pt>
                <c:pt idx="108">
                  <c:v>73.21282111263902</c:v>
                </c:pt>
                <c:pt idx="109">
                  <c:v>72.870981295294158</c:v>
                </c:pt>
                <c:pt idx="110">
                  <c:v>72.981972633211569</c:v>
                </c:pt>
                <c:pt idx="111">
                  <c:v>72.94008946116125</c:v>
                </c:pt>
                <c:pt idx="112">
                  <c:v>72.737486246228329</c:v>
                </c:pt>
                <c:pt idx="113">
                  <c:v>72.496076406098979</c:v>
                </c:pt>
                <c:pt idx="114">
                  <c:v>72.210045767556807</c:v>
                </c:pt>
                <c:pt idx="115">
                  <c:v>71.71978079031372</c:v>
                </c:pt>
                <c:pt idx="116">
                  <c:v>72.192645293019069</c:v>
                </c:pt>
                <c:pt idx="117">
                  <c:v>72.736829219463445</c:v>
                </c:pt>
                <c:pt idx="118">
                  <c:v>73.051564827961514</c:v>
                </c:pt>
                <c:pt idx="119">
                  <c:v>71.819346623858465</c:v>
                </c:pt>
                <c:pt idx="120">
                  <c:v>72.419455060813078</c:v>
                </c:pt>
                <c:pt idx="121">
                  <c:v>72.725648872111151</c:v>
                </c:pt>
                <c:pt idx="122">
                  <c:v>72.527588940068156</c:v>
                </c:pt>
                <c:pt idx="123">
                  <c:v>73.223354917592616</c:v>
                </c:pt>
                <c:pt idx="124">
                  <c:v>74.088869250050962</c:v>
                </c:pt>
                <c:pt idx="125">
                  <c:v>75.126962792385839</c:v>
                </c:pt>
                <c:pt idx="126">
                  <c:v>75.167173242385601</c:v>
                </c:pt>
                <c:pt idx="127">
                  <c:v>74.442844376634582</c:v>
                </c:pt>
                <c:pt idx="128">
                  <c:v>74.209295143484837</c:v>
                </c:pt>
                <c:pt idx="129">
                  <c:v>73.362718835302445</c:v>
                </c:pt>
                <c:pt idx="130">
                  <c:v>72.562274936346967</c:v>
                </c:pt>
                <c:pt idx="131">
                  <c:v>73.021977992482547</c:v>
                </c:pt>
                <c:pt idx="132">
                  <c:v>73.50791924999784</c:v>
                </c:pt>
                <c:pt idx="133">
                  <c:v>73.165917766015482</c:v>
                </c:pt>
                <c:pt idx="134">
                  <c:v>73.337798353706745</c:v>
                </c:pt>
                <c:pt idx="135">
                  <c:v>72.960076653838897</c:v>
                </c:pt>
                <c:pt idx="136">
                  <c:v>73.096832799032455</c:v>
                </c:pt>
                <c:pt idx="137">
                  <c:v>73.705331467051508</c:v>
                </c:pt>
                <c:pt idx="138">
                  <c:v>72.272554798626558</c:v>
                </c:pt>
                <c:pt idx="139">
                  <c:v>72.918003688535734</c:v>
                </c:pt>
                <c:pt idx="140">
                  <c:v>74.117480585820189</c:v>
                </c:pt>
                <c:pt idx="141">
                  <c:v>75.053621442533597</c:v>
                </c:pt>
                <c:pt idx="142">
                  <c:v>75.453466053170558</c:v>
                </c:pt>
                <c:pt idx="143">
                  <c:v>74.665901810221513</c:v>
                </c:pt>
                <c:pt idx="144">
                  <c:v>75.130239133276376</c:v>
                </c:pt>
                <c:pt idx="145">
                  <c:v>74.935801991407615</c:v>
                </c:pt>
                <c:pt idx="146">
                  <c:v>74.74677517962904</c:v>
                </c:pt>
                <c:pt idx="147">
                  <c:v>75.524347755223147</c:v>
                </c:pt>
                <c:pt idx="148">
                  <c:v>75.728314653807132</c:v>
                </c:pt>
                <c:pt idx="149">
                  <c:v>75.309356105549611</c:v>
                </c:pt>
                <c:pt idx="150">
                  <c:v>75.336188808196368</c:v>
                </c:pt>
                <c:pt idx="151">
                  <c:v>74.948405338346717</c:v>
                </c:pt>
                <c:pt idx="152">
                  <c:v>74.66477704147691</c:v>
                </c:pt>
                <c:pt idx="153">
                  <c:v>74.269550558583575</c:v>
                </c:pt>
                <c:pt idx="154">
                  <c:v>74.834263224468586</c:v>
                </c:pt>
                <c:pt idx="155">
                  <c:v>75.253050391440027</c:v>
                </c:pt>
                <c:pt idx="156">
                  <c:v>75.728653908051754</c:v>
                </c:pt>
                <c:pt idx="157">
                  <c:v>75.308343110728302</c:v>
                </c:pt>
                <c:pt idx="158">
                  <c:v>76.36686258230533</c:v>
                </c:pt>
                <c:pt idx="159">
                  <c:v>76.011039336414811</c:v>
                </c:pt>
                <c:pt idx="160">
                  <c:v>75.194218596781752</c:v>
                </c:pt>
                <c:pt idx="161">
                  <c:v>74.779060672432223</c:v>
                </c:pt>
                <c:pt idx="162">
                  <c:v>73.325331146413347</c:v>
                </c:pt>
                <c:pt idx="163">
                  <c:v>73.749740247390577</c:v>
                </c:pt>
                <c:pt idx="164">
                  <c:v>73.244582393054372</c:v>
                </c:pt>
                <c:pt idx="165">
                  <c:v>73.723388647337359</c:v>
                </c:pt>
                <c:pt idx="166">
                  <c:v>73.755376948032222</c:v>
                </c:pt>
                <c:pt idx="167">
                  <c:v>74.103275881601689</c:v>
                </c:pt>
                <c:pt idx="168">
                  <c:v>73.056754525861649</c:v>
                </c:pt>
                <c:pt idx="169">
                  <c:v>74.136445532851283</c:v>
                </c:pt>
                <c:pt idx="170">
                  <c:v>73.53510017310424</c:v>
                </c:pt>
                <c:pt idx="171">
                  <c:v>74.46127642689973</c:v>
                </c:pt>
                <c:pt idx="172">
                  <c:v>74.445721497608233</c:v>
                </c:pt>
                <c:pt idx="173">
                  <c:v>73.81504990021962</c:v>
                </c:pt>
                <c:pt idx="174">
                  <c:v>72.978078716347383</c:v>
                </c:pt>
                <c:pt idx="175">
                  <c:v>73.847817928346714</c:v>
                </c:pt>
                <c:pt idx="176">
                  <c:v>74.255469402326426</c:v>
                </c:pt>
                <c:pt idx="177">
                  <c:v>73.799496903748206</c:v>
                </c:pt>
                <c:pt idx="178">
                  <c:v>73.387933970118254</c:v>
                </c:pt>
                <c:pt idx="179">
                  <c:v>74.098300397551313</c:v>
                </c:pt>
                <c:pt idx="180">
                  <c:v>74.554148798315794</c:v>
                </c:pt>
                <c:pt idx="181">
                  <c:v>75.83211069749764</c:v>
                </c:pt>
                <c:pt idx="182">
                  <c:v>76.263965748446239</c:v>
                </c:pt>
                <c:pt idx="183">
                  <c:v>77.911405659871477</c:v>
                </c:pt>
                <c:pt idx="184">
                  <c:v>77.396739684056755</c:v>
                </c:pt>
                <c:pt idx="185">
                  <c:v>77.386984795155925</c:v>
                </c:pt>
                <c:pt idx="186">
                  <c:v>77.669690313076273</c:v>
                </c:pt>
                <c:pt idx="187">
                  <c:v>77.975135984066398</c:v>
                </c:pt>
                <c:pt idx="188">
                  <c:v>78.052778549670975</c:v>
                </c:pt>
                <c:pt idx="189">
                  <c:v>78.433403179149465</c:v>
                </c:pt>
                <c:pt idx="190">
                  <c:v>78.653863772468341</c:v>
                </c:pt>
                <c:pt idx="191">
                  <c:v>78.721953129418679</c:v>
                </c:pt>
                <c:pt idx="192">
                  <c:v>78.341931101580414</c:v>
                </c:pt>
                <c:pt idx="193">
                  <c:v>79.061576217671913</c:v>
                </c:pt>
                <c:pt idx="194">
                  <c:v>78.244712713510438</c:v>
                </c:pt>
                <c:pt idx="195">
                  <c:v>78.983717772511497</c:v>
                </c:pt>
                <c:pt idx="196">
                  <c:v>78.546158940774959</c:v>
                </c:pt>
                <c:pt idx="197">
                  <c:v>78.357868014729817</c:v>
                </c:pt>
                <c:pt idx="198">
                  <c:v>79.226677129542082</c:v>
                </c:pt>
                <c:pt idx="199">
                  <c:v>79.19729689956884</c:v>
                </c:pt>
                <c:pt idx="200">
                  <c:v>78.838621010160182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D9-406C-8B04-786BF3A9579A}"/>
            </c:ext>
          </c:extLst>
        </c:ser>
        <c:ser>
          <c:idx val="6"/>
          <c:order val="6"/>
          <c:tx>
            <c:v>STRIKE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'Monte Carlo'!$G$2:$G$202</c:f>
              <c:numCache>
                <c:formatCode>General</c:formatCode>
                <c:ptCount val="20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80</c:v>
                </c:pt>
                <c:pt idx="113">
                  <c:v>80</c:v>
                </c:pt>
                <c:pt idx="114">
                  <c:v>80</c:v>
                </c:pt>
                <c:pt idx="115">
                  <c:v>80</c:v>
                </c:pt>
                <c:pt idx="116">
                  <c:v>80</c:v>
                </c:pt>
                <c:pt idx="117">
                  <c:v>80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80</c:v>
                </c:pt>
                <c:pt idx="195">
                  <c:v>80</c:v>
                </c:pt>
                <c:pt idx="196">
                  <c:v>80</c:v>
                </c:pt>
                <c:pt idx="197">
                  <c:v>80</c:v>
                </c:pt>
                <c:pt idx="198">
                  <c:v>80</c:v>
                </c:pt>
                <c:pt idx="199">
                  <c:v>80</c:v>
                </c:pt>
                <c:pt idx="200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D9-406C-8B04-786BF3A95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4781983"/>
        <c:axId val="1794791103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'Monte Carlo'!$A$1</c15:sqref>
                        </c15:formulaRef>
                      </c:ext>
                    </c:extLst>
                    <c:strCache>
                      <c:ptCount val="1"/>
                      <c:pt idx="0">
                        <c:v>Période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'Monte Carlo'!$A$2:$A$202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ED9-406C-8B04-786BF3A9579A}"/>
                  </c:ext>
                </c:extLst>
              </c15:ser>
            </c15:filteredLineSeries>
          </c:ext>
        </c:extLst>
      </c:lineChart>
      <c:catAx>
        <c:axId val="17947819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94791103"/>
        <c:crosses val="autoZero"/>
        <c:auto val="1"/>
        <c:lblAlgn val="ctr"/>
        <c:lblOffset val="100"/>
        <c:noMultiLvlLbl val="0"/>
      </c:catAx>
      <c:valAx>
        <c:axId val="1794791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94781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762055</xdr:colOff>
      <xdr:row>46</xdr:row>
      <xdr:rowOff>11267</xdr:rowOff>
    </xdr:from>
    <xdr:to>
      <xdr:col>16</xdr:col>
      <xdr:colOff>136321</xdr:colOff>
      <xdr:row>61</xdr:row>
      <xdr:rowOff>26687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61</xdr:row>
      <xdr:rowOff>25743</xdr:rowOff>
    </xdr:from>
    <xdr:to>
      <xdr:col>16</xdr:col>
      <xdr:colOff>137982</xdr:colOff>
      <xdr:row>76</xdr:row>
      <xdr:rowOff>41164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13</xdr:row>
          <xdr:rowOff>158750</xdr:rowOff>
        </xdr:from>
        <xdr:to>
          <xdr:col>2</xdr:col>
          <xdr:colOff>412750</xdr:colOff>
          <xdr:row>17</xdr:row>
          <xdr:rowOff>127000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158750</xdr:colOff>
          <xdr:row>17</xdr:row>
          <xdr:rowOff>152400</xdr:rowOff>
        </xdr:from>
        <xdr:to>
          <xdr:col>3</xdr:col>
          <xdr:colOff>400050</xdr:colOff>
          <xdr:row>21</xdr:row>
          <xdr:rowOff>127000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10</xdr:row>
          <xdr:rowOff>88900</xdr:rowOff>
        </xdr:from>
        <xdr:to>
          <xdr:col>3</xdr:col>
          <xdr:colOff>279400</xdr:colOff>
          <xdr:row>12</xdr:row>
          <xdr:rowOff>69850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82550</xdr:rowOff>
        </xdr:from>
        <xdr:to>
          <xdr:col>8</xdr:col>
          <xdr:colOff>203200</xdr:colOff>
          <xdr:row>26</xdr:row>
          <xdr:rowOff>101600</xdr:rowOff>
        </xdr:to>
        <xdr:sp macro="" textlink="">
          <xdr:nvSpPr>
            <xdr:cNvPr id="1028" name="Object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16</xdr:row>
          <xdr:rowOff>88900</xdr:rowOff>
        </xdr:from>
        <xdr:to>
          <xdr:col>7</xdr:col>
          <xdr:colOff>336550</xdr:colOff>
          <xdr:row>18</xdr:row>
          <xdr:rowOff>114300</xdr:rowOff>
        </xdr:to>
        <xdr:sp macro="" textlink="">
          <xdr:nvSpPr>
            <xdr:cNvPr id="1029" name="Object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107950</xdr:colOff>
          <xdr:row>20</xdr:row>
          <xdr:rowOff>69850</xdr:rowOff>
        </xdr:from>
        <xdr:to>
          <xdr:col>7</xdr:col>
          <xdr:colOff>336550</xdr:colOff>
          <xdr:row>22</xdr:row>
          <xdr:rowOff>12700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203200</xdr:colOff>
          <xdr:row>7</xdr:row>
          <xdr:rowOff>0</xdr:rowOff>
        </xdr:from>
        <xdr:to>
          <xdr:col>12</xdr:col>
          <xdr:colOff>247650</xdr:colOff>
          <xdr:row>14</xdr:row>
          <xdr:rowOff>88900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69850</xdr:colOff>
      <xdr:row>38</xdr:row>
      <xdr:rowOff>107950</xdr:rowOff>
    </xdr:from>
    <xdr:to>
      <xdr:col>15</xdr:col>
      <xdr:colOff>641350</xdr:colOff>
      <xdr:row>53</xdr:row>
      <xdr:rowOff>95250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88900</xdr:colOff>
      <xdr:row>8</xdr:row>
      <xdr:rowOff>101600</xdr:rowOff>
    </xdr:from>
    <xdr:to>
      <xdr:col>6</xdr:col>
      <xdr:colOff>463550</xdr:colOff>
      <xdr:row>17</xdr:row>
      <xdr:rowOff>12700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612900" y="1574800"/>
          <a:ext cx="4730750" cy="1568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/>
            <a:t>Les écarts entre la méthode de Monte Carlo et le modèle de Black-Scholes peuvent être positifs ou négatifs en raison du caractère aléatoire de la simulation.</a:t>
          </a:r>
          <a:br>
            <a:rPr lang="fr-FR"/>
          </a:br>
          <a:r>
            <a:rPr lang="fr-FR"/>
            <a:t>Ces fluctuations sont normales et tendent à diminuer lorsque le nombre de simulations augmente.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/>
            <a:t>Un écart positif indique une surestimation par Monte Carlo, tandis qu’un écart négatif indique une sous-estimation par rapport au modèle de Black-Scholes.</a:t>
          </a:r>
        </a:p>
        <a:p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4CC6EF-6BED-48A1-A1B4-DE44C11F2C4F}" name="Tableau2" displayName="Tableau2" ref="C2:E5" totalsRowShown="0">
  <autoFilter ref="C2:E5" xr:uid="{884CC6EF-6BED-48A1-A1B4-DE44C11F2C4F}"/>
  <tableColumns count="3">
    <tableColumn id="1" xr3:uid="{DE675777-AF9E-44C6-BED5-E2AF552C154E}" name="Méthodes"/>
    <tableColumn id="2" xr3:uid="{77EDA47A-CB03-4B1A-A88D-74860952ACDF}" name="Call" dataDxfId="1">
      <calculatedColumnFormula>'Monte Carlo'!C206</calculatedColumnFormula>
    </tableColumn>
    <tableColumn id="3" xr3:uid="{12FF3E67-3B8D-4024-8E00-008E7141D428}" name="Put" dataDxfId="0">
      <calculatedColumnFormula>'Monte Carlo'!C213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5.emf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oleObject" Target="../embeddings/oleObject6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oleObject" Target="../embeddings/oleObject4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7.bin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BB10E-5119-4CFF-BF30-CC5DB421251A}">
  <sheetPr codeName="Feuil4"/>
  <dimension ref="A1:G86"/>
  <sheetViews>
    <sheetView tabSelected="1" zoomScale="85" zoomScaleNormal="85" workbookViewId="0">
      <selection activeCell="F29" sqref="F29"/>
    </sheetView>
  </sheetViews>
  <sheetFormatPr baseColWidth="10" defaultRowHeight="14.5" x14ac:dyDescent="0.35"/>
  <cols>
    <col min="1" max="2" width="10.90625" style="2"/>
    <col min="3" max="3" width="9.90625" style="2" customWidth="1"/>
    <col min="4" max="4" width="6.7265625" style="2" customWidth="1"/>
    <col min="5" max="5" width="10.90625" style="2"/>
    <col min="6" max="6" width="32.90625" style="2" customWidth="1"/>
    <col min="7" max="13" width="10.90625" style="2"/>
    <col min="14" max="14" width="13.36328125" style="2" customWidth="1"/>
    <col min="15" max="16384" width="10.90625" style="2"/>
  </cols>
  <sheetData>
    <row r="1" spans="1:3" x14ac:dyDescent="0.35">
      <c r="A1" s="1" t="s">
        <v>0</v>
      </c>
    </row>
    <row r="3" spans="1:3" x14ac:dyDescent="0.35">
      <c r="A3" s="2" t="s">
        <v>1</v>
      </c>
    </row>
    <row r="4" spans="1:3" x14ac:dyDescent="0.35">
      <c r="A4" s="2" t="s">
        <v>2</v>
      </c>
    </row>
    <row r="6" spans="1:3" x14ac:dyDescent="0.35">
      <c r="A6" s="2" t="s">
        <v>3</v>
      </c>
    </row>
    <row r="7" spans="1:3" x14ac:dyDescent="0.35">
      <c r="A7" s="2" t="s">
        <v>4</v>
      </c>
    </row>
    <row r="9" spans="1:3" x14ac:dyDescent="0.35">
      <c r="A9" s="1" t="s">
        <v>5</v>
      </c>
    </row>
    <row r="11" spans="1:3" x14ac:dyDescent="0.35">
      <c r="A11" s="3" t="s">
        <v>6</v>
      </c>
      <c r="C11" s="4" t="s">
        <v>7</v>
      </c>
    </row>
    <row r="12" spans="1:3" x14ac:dyDescent="0.35">
      <c r="A12" s="3" t="s">
        <v>8</v>
      </c>
      <c r="C12" s="4" t="s">
        <v>9</v>
      </c>
    </row>
    <row r="13" spans="1:3" x14ac:dyDescent="0.35">
      <c r="A13" s="3" t="s">
        <v>10</v>
      </c>
      <c r="C13" s="4" t="s">
        <v>11</v>
      </c>
    </row>
    <row r="14" spans="1:3" x14ac:dyDescent="0.35">
      <c r="A14" s="3" t="s">
        <v>12</v>
      </c>
      <c r="C14" s="4" t="s">
        <v>13</v>
      </c>
    </row>
    <row r="15" spans="1:3" x14ac:dyDescent="0.35">
      <c r="A15" s="3" t="s">
        <v>14</v>
      </c>
      <c r="C15" s="4" t="s">
        <v>15</v>
      </c>
    </row>
    <row r="16" spans="1:3" x14ac:dyDescent="0.35">
      <c r="A16" s="3" t="s">
        <v>16</v>
      </c>
      <c r="C16" s="4" t="s">
        <v>17</v>
      </c>
    </row>
    <row r="17" spans="1:7" x14ac:dyDescent="0.35">
      <c r="C17" s="4" t="s">
        <v>18</v>
      </c>
    </row>
    <row r="19" spans="1:7" x14ac:dyDescent="0.35">
      <c r="A19" s="2" t="s">
        <v>19</v>
      </c>
    </row>
    <row r="20" spans="1:7" x14ac:dyDescent="0.35">
      <c r="B20" s="2" t="s">
        <v>20</v>
      </c>
    </row>
    <row r="22" spans="1:7" x14ac:dyDescent="0.35">
      <c r="A22" s="5" t="s">
        <v>21</v>
      </c>
    </row>
    <row r="23" spans="1:7" x14ac:dyDescent="0.35">
      <c r="A23" s="2" t="s">
        <v>22</v>
      </c>
    </row>
    <row r="24" spans="1:7" x14ac:dyDescent="0.35">
      <c r="A24" s="2" t="s">
        <v>23</v>
      </c>
    </row>
    <row r="26" spans="1:7" x14ac:dyDescent="0.35">
      <c r="A26" s="2" t="s">
        <v>24</v>
      </c>
    </row>
    <row r="27" spans="1:7" x14ac:dyDescent="0.35">
      <c r="B27" s="2" t="s">
        <v>25</v>
      </c>
      <c r="C27" s="6">
        <f>100*3.45</f>
        <v>345</v>
      </c>
    </row>
    <row r="29" spans="1:7" x14ac:dyDescent="0.35">
      <c r="A29" s="1" t="s">
        <v>26</v>
      </c>
    </row>
    <row r="31" spans="1:7" x14ac:dyDescent="0.35">
      <c r="A31" s="7" t="s">
        <v>27</v>
      </c>
    </row>
    <row r="32" spans="1:7" ht="16.5" x14ac:dyDescent="0.45">
      <c r="A32" s="2" t="s">
        <v>28</v>
      </c>
      <c r="G32" s="2" t="s">
        <v>29</v>
      </c>
    </row>
    <row r="33" spans="1:7" ht="16.5" x14ac:dyDescent="0.45">
      <c r="A33" s="2" t="s">
        <v>30</v>
      </c>
      <c r="G33" s="2" t="s">
        <v>31</v>
      </c>
    </row>
    <row r="35" spans="1:7" ht="16.5" x14ac:dyDescent="0.45">
      <c r="A35" s="2" t="s">
        <v>32</v>
      </c>
      <c r="G35" s="2" t="s">
        <v>33</v>
      </c>
    </row>
    <row r="37" spans="1:7" x14ac:dyDescent="0.35">
      <c r="A37" s="7" t="s">
        <v>34</v>
      </c>
    </row>
    <row r="38" spans="1:7" ht="16.5" x14ac:dyDescent="0.45">
      <c r="A38" s="2" t="s">
        <v>35</v>
      </c>
      <c r="G38" s="2" t="s">
        <v>36</v>
      </c>
    </row>
    <row r="39" spans="1:7" ht="16.5" x14ac:dyDescent="0.45">
      <c r="A39" s="2" t="s">
        <v>30</v>
      </c>
      <c r="G39" s="2" t="s">
        <v>37</v>
      </c>
    </row>
    <row r="41" spans="1:7" ht="16.5" x14ac:dyDescent="0.45">
      <c r="A41" s="2" t="s">
        <v>38</v>
      </c>
      <c r="G41" s="2" t="s">
        <v>39</v>
      </c>
    </row>
    <row r="43" spans="1:7" x14ac:dyDescent="0.35">
      <c r="A43" s="7" t="s">
        <v>40</v>
      </c>
      <c r="B43" s="3"/>
      <c r="E43" s="7" t="s">
        <v>41</v>
      </c>
    </row>
    <row r="44" spans="1:7" x14ac:dyDescent="0.35">
      <c r="A44" s="2" t="s">
        <v>42</v>
      </c>
      <c r="B44" s="8">
        <v>80</v>
      </c>
      <c r="E44" s="2" t="s">
        <v>42</v>
      </c>
      <c r="F44" s="8">
        <v>80</v>
      </c>
    </row>
    <row r="45" spans="1:7" x14ac:dyDescent="0.35">
      <c r="A45" s="2" t="s">
        <v>43</v>
      </c>
      <c r="B45" s="9">
        <v>3.5</v>
      </c>
      <c r="E45" s="2" t="s">
        <v>43</v>
      </c>
      <c r="F45" s="9">
        <v>3.5</v>
      </c>
    </row>
    <row r="47" spans="1:7" ht="16.5" x14ac:dyDescent="0.35">
      <c r="A47" s="10" t="s">
        <v>44</v>
      </c>
      <c r="B47" s="10" t="s">
        <v>45</v>
      </c>
      <c r="E47" s="10" t="s">
        <v>44</v>
      </c>
      <c r="F47" s="10" t="s">
        <v>45</v>
      </c>
    </row>
    <row r="48" spans="1:7" x14ac:dyDescent="0.35">
      <c r="A48" s="11">
        <v>74</v>
      </c>
      <c r="B48" s="11">
        <f>MAX(A48-80,0)-3.5</f>
        <v>-3.5</v>
      </c>
      <c r="E48" s="11">
        <f>E49-0.5</f>
        <v>72</v>
      </c>
      <c r="F48" s="11">
        <f t="shared" ref="F48:F76" si="0">MAX(80-E48,0)-3.5</f>
        <v>4.5</v>
      </c>
    </row>
    <row r="49" spans="1:6" x14ac:dyDescent="0.35">
      <c r="A49" s="11">
        <f t="shared" ref="A49:A76" si="1">A48+0.5</f>
        <v>74.5</v>
      </c>
      <c r="B49" s="11">
        <f>MAX(A49-80,0)-3.5</f>
        <v>-3.5</v>
      </c>
      <c r="E49" s="11">
        <f>E50-0.5</f>
        <v>72.5</v>
      </c>
      <c r="F49" s="11">
        <f t="shared" si="0"/>
        <v>4</v>
      </c>
    </row>
    <row r="50" spans="1:6" x14ac:dyDescent="0.35">
      <c r="A50" s="11">
        <f t="shared" si="1"/>
        <v>75</v>
      </c>
      <c r="B50" s="11">
        <f t="shared" ref="B50:B76" si="2">MAX(A50-80,0)-3.5</f>
        <v>-3.5</v>
      </c>
      <c r="E50" s="11">
        <f>E51-0.5</f>
        <v>73</v>
      </c>
      <c r="F50" s="11">
        <f t="shared" si="0"/>
        <v>3.5</v>
      </c>
    </row>
    <row r="51" spans="1:6" x14ac:dyDescent="0.35">
      <c r="A51" s="11">
        <f t="shared" si="1"/>
        <v>75.5</v>
      </c>
      <c r="B51" s="11">
        <f t="shared" si="2"/>
        <v>-3.5</v>
      </c>
      <c r="E51" s="11">
        <f>E52-0.5</f>
        <v>73.5</v>
      </c>
      <c r="F51" s="11">
        <f t="shared" si="0"/>
        <v>3</v>
      </c>
    </row>
    <row r="52" spans="1:6" x14ac:dyDescent="0.35">
      <c r="A52" s="11">
        <f t="shared" si="1"/>
        <v>76</v>
      </c>
      <c r="B52" s="11">
        <f>MAX(A52-80,0)-3.5</f>
        <v>-3.5</v>
      </c>
      <c r="E52" s="11">
        <v>74</v>
      </c>
      <c r="F52" s="11">
        <f t="shared" si="0"/>
        <v>2.5</v>
      </c>
    </row>
    <row r="53" spans="1:6" x14ac:dyDescent="0.35">
      <c r="A53" s="11">
        <f t="shared" si="1"/>
        <v>76.5</v>
      </c>
      <c r="B53" s="11">
        <f t="shared" si="2"/>
        <v>-3.5</v>
      </c>
      <c r="E53" s="11">
        <f t="shared" ref="E53:E76" si="3">E52+0.5</f>
        <v>74.5</v>
      </c>
      <c r="F53" s="11">
        <f t="shared" si="0"/>
        <v>2</v>
      </c>
    </row>
    <row r="54" spans="1:6" x14ac:dyDescent="0.35">
      <c r="A54" s="11">
        <f t="shared" si="1"/>
        <v>77</v>
      </c>
      <c r="B54" s="11">
        <f t="shared" si="2"/>
        <v>-3.5</v>
      </c>
      <c r="E54" s="11">
        <f t="shared" si="3"/>
        <v>75</v>
      </c>
      <c r="F54" s="11">
        <f t="shared" si="0"/>
        <v>1.5</v>
      </c>
    </row>
    <row r="55" spans="1:6" x14ac:dyDescent="0.35">
      <c r="A55" s="11">
        <f t="shared" si="1"/>
        <v>77.5</v>
      </c>
      <c r="B55" s="11">
        <f t="shared" si="2"/>
        <v>-3.5</v>
      </c>
      <c r="E55" s="11">
        <f t="shared" si="3"/>
        <v>75.5</v>
      </c>
      <c r="F55" s="11">
        <f t="shared" si="0"/>
        <v>1</v>
      </c>
    </row>
    <row r="56" spans="1:6" x14ac:dyDescent="0.35">
      <c r="A56" s="11">
        <f t="shared" si="1"/>
        <v>78</v>
      </c>
      <c r="B56" s="11">
        <f t="shared" si="2"/>
        <v>-3.5</v>
      </c>
      <c r="E56" s="11">
        <f t="shared" si="3"/>
        <v>76</v>
      </c>
      <c r="F56" s="11">
        <f t="shared" si="0"/>
        <v>0.5</v>
      </c>
    </row>
    <row r="57" spans="1:6" x14ac:dyDescent="0.35">
      <c r="A57" s="11">
        <f t="shared" si="1"/>
        <v>78.5</v>
      </c>
      <c r="B57" s="11">
        <f t="shared" si="2"/>
        <v>-3.5</v>
      </c>
      <c r="E57" s="12">
        <f t="shared" si="3"/>
        <v>76.5</v>
      </c>
      <c r="F57" s="12">
        <f t="shared" si="0"/>
        <v>0</v>
      </c>
    </row>
    <row r="58" spans="1:6" x14ac:dyDescent="0.35">
      <c r="A58" s="11">
        <f t="shared" si="1"/>
        <v>79</v>
      </c>
      <c r="B58" s="11">
        <f t="shared" si="2"/>
        <v>-3.5</v>
      </c>
      <c r="E58" s="11">
        <f t="shared" si="3"/>
        <v>77</v>
      </c>
      <c r="F58" s="11">
        <f t="shared" si="0"/>
        <v>-0.5</v>
      </c>
    </row>
    <row r="59" spans="1:6" x14ac:dyDescent="0.35">
      <c r="A59" s="11">
        <f t="shared" si="1"/>
        <v>79.5</v>
      </c>
      <c r="B59" s="11">
        <f t="shared" si="2"/>
        <v>-3.5</v>
      </c>
      <c r="E59" s="11">
        <f t="shared" si="3"/>
        <v>77.5</v>
      </c>
      <c r="F59" s="11">
        <f t="shared" si="0"/>
        <v>-1</v>
      </c>
    </row>
    <row r="60" spans="1:6" x14ac:dyDescent="0.35">
      <c r="A60" s="12">
        <f t="shared" si="1"/>
        <v>80</v>
      </c>
      <c r="B60" s="12">
        <f t="shared" si="2"/>
        <v>-3.5</v>
      </c>
      <c r="E60" s="11">
        <f t="shared" si="3"/>
        <v>78</v>
      </c>
      <c r="F60" s="11">
        <f t="shared" si="0"/>
        <v>-1.5</v>
      </c>
    </row>
    <row r="61" spans="1:6" x14ac:dyDescent="0.35">
      <c r="A61" s="11">
        <f t="shared" si="1"/>
        <v>80.5</v>
      </c>
      <c r="B61" s="11">
        <f t="shared" si="2"/>
        <v>-3</v>
      </c>
      <c r="E61" s="11">
        <f t="shared" si="3"/>
        <v>78.5</v>
      </c>
      <c r="F61" s="11">
        <f t="shared" si="0"/>
        <v>-2</v>
      </c>
    </row>
    <row r="62" spans="1:6" x14ac:dyDescent="0.35">
      <c r="A62" s="11">
        <f t="shared" si="1"/>
        <v>81</v>
      </c>
      <c r="B62" s="11">
        <f t="shared" si="2"/>
        <v>-2.5</v>
      </c>
      <c r="E62" s="11">
        <f t="shared" si="3"/>
        <v>79</v>
      </c>
      <c r="F62" s="11">
        <f t="shared" si="0"/>
        <v>-2.5</v>
      </c>
    </row>
    <row r="63" spans="1:6" x14ac:dyDescent="0.35">
      <c r="A63" s="11">
        <f t="shared" si="1"/>
        <v>81.5</v>
      </c>
      <c r="B63" s="11">
        <f t="shared" si="2"/>
        <v>-2</v>
      </c>
      <c r="E63" s="11">
        <f t="shared" si="3"/>
        <v>79.5</v>
      </c>
      <c r="F63" s="11">
        <f t="shared" si="0"/>
        <v>-3</v>
      </c>
    </row>
    <row r="64" spans="1:6" x14ac:dyDescent="0.35">
      <c r="A64" s="11">
        <f t="shared" si="1"/>
        <v>82</v>
      </c>
      <c r="B64" s="11">
        <f t="shared" si="2"/>
        <v>-1.5</v>
      </c>
      <c r="E64" s="12">
        <f t="shared" si="3"/>
        <v>80</v>
      </c>
      <c r="F64" s="12">
        <f t="shared" si="0"/>
        <v>-3.5</v>
      </c>
    </row>
    <row r="65" spans="1:6" x14ac:dyDescent="0.35">
      <c r="A65" s="11">
        <f t="shared" si="1"/>
        <v>82.5</v>
      </c>
      <c r="B65" s="11">
        <f t="shared" si="2"/>
        <v>-1</v>
      </c>
      <c r="E65" s="11">
        <f t="shared" si="3"/>
        <v>80.5</v>
      </c>
      <c r="F65" s="11">
        <f t="shared" si="0"/>
        <v>-3.5</v>
      </c>
    </row>
    <row r="66" spans="1:6" x14ac:dyDescent="0.35">
      <c r="A66" s="11">
        <f t="shared" si="1"/>
        <v>83</v>
      </c>
      <c r="B66" s="11">
        <f t="shared" si="2"/>
        <v>-0.5</v>
      </c>
      <c r="E66" s="11">
        <f t="shared" si="3"/>
        <v>81</v>
      </c>
      <c r="F66" s="11">
        <f t="shared" si="0"/>
        <v>-3.5</v>
      </c>
    </row>
    <row r="67" spans="1:6" x14ac:dyDescent="0.35">
      <c r="A67" s="12">
        <f t="shared" si="1"/>
        <v>83.5</v>
      </c>
      <c r="B67" s="12">
        <f t="shared" si="2"/>
        <v>0</v>
      </c>
      <c r="E67" s="11">
        <f t="shared" si="3"/>
        <v>81.5</v>
      </c>
      <c r="F67" s="11">
        <f t="shared" si="0"/>
        <v>-3.5</v>
      </c>
    </row>
    <row r="68" spans="1:6" x14ac:dyDescent="0.35">
      <c r="A68" s="11">
        <f t="shared" si="1"/>
        <v>84</v>
      </c>
      <c r="B68" s="11">
        <f t="shared" si="2"/>
        <v>0.5</v>
      </c>
      <c r="E68" s="11">
        <f t="shared" si="3"/>
        <v>82</v>
      </c>
      <c r="F68" s="11">
        <f t="shared" si="0"/>
        <v>-3.5</v>
      </c>
    </row>
    <row r="69" spans="1:6" x14ac:dyDescent="0.35">
      <c r="A69" s="11">
        <f t="shared" si="1"/>
        <v>84.5</v>
      </c>
      <c r="B69" s="11">
        <f t="shared" si="2"/>
        <v>1</v>
      </c>
      <c r="E69" s="11">
        <f t="shared" si="3"/>
        <v>82.5</v>
      </c>
      <c r="F69" s="11">
        <f t="shared" si="0"/>
        <v>-3.5</v>
      </c>
    </row>
    <row r="70" spans="1:6" x14ac:dyDescent="0.35">
      <c r="A70" s="11">
        <f t="shared" si="1"/>
        <v>85</v>
      </c>
      <c r="B70" s="11">
        <f t="shared" si="2"/>
        <v>1.5</v>
      </c>
      <c r="E70" s="11">
        <f t="shared" si="3"/>
        <v>83</v>
      </c>
      <c r="F70" s="11">
        <f t="shared" si="0"/>
        <v>-3.5</v>
      </c>
    </row>
    <row r="71" spans="1:6" x14ac:dyDescent="0.35">
      <c r="A71" s="11">
        <f t="shared" si="1"/>
        <v>85.5</v>
      </c>
      <c r="B71" s="11">
        <f t="shared" si="2"/>
        <v>2</v>
      </c>
      <c r="E71" s="11">
        <f t="shared" si="3"/>
        <v>83.5</v>
      </c>
      <c r="F71" s="11">
        <f t="shared" si="0"/>
        <v>-3.5</v>
      </c>
    </row>
    <row r="72" spans="1:6" x14ac:dyDescent="0.35">
      <c r="A72" s="11">
        <f t="shared" si="1"/>
        <v>86</v>
      </c>
      <c r="B72" s="11">
        <f t="shared" si="2"/>
        <v>2.5</v>
      </c>
      <c r="E72" s="11">
        <f t="shared" si="3"/>
        <v>84</v>
      </c>
      <c r="F72" s="11">
        <f t="shared" si="0"/>
        <v>-3.5</v>
      </c>
    </row>
    <row r="73" spans="1:6" x14ac:dyDescent="0.35">
      <c r="A73" s="11">
        <f t="shared" si="1"/>
        <v>86.5</v>
      </c>
      <c r="B73" s="11">
        <f t="shared" si="2"/>
        <v>3</v>
      </c>
      <c r="E73" s="11">
        <f t="shared" si="3"/>
        <v>84.5</v>
      </c>
      <c r="F73" s="11">
        <f t="shared" si="0"/>
        <v>-3.5</v>
      </c>
    </row>
    <row r="74" spans="1:6" x14ac:dyDescent="0.35">
      <c r="A74" s="11">
        <f t="shared" si="1"/>
        <v>87</v>
      </c>
      <c r="B74" s="11">
        <f t="shared" si="2"/>
        <v>3.5</v>
      </c>
      <c r="E74" s="11">
        <f t="shared" si="3"/>
        <v>85</v>
      </c>
      <c r="F74" s="11">
        <f t="shared" si="0"/>
        <v>-3.5</v>
      </c>
    </row>
    <row r="75" spans="1:6" x14ac:dyDescent="0.35">
      <c r="A75" s="11">
        <f t="shared" si="1"/>
        <v>87.5</v>
      </c>
      <c r="B75" s="11">
        <f t="shared" si="2"/>
        <v>4</v>
      </c>
      <c r="E75" s="11">
        <f t="shared" si="3"/>
        <v>85.5</v>
      </c>
      <c r="F75" s="11">
        <f t="shared" si="0"/>
        <v>-3.5</v>
      </c>
    </row>
    <row r="76" spans="1:6" x14ac:dyDescent="0.35">
      <c r="A76" s="11">
        <f t="shared" si="1"/>
        <v>88</v>
      </c>
      <c r="B76" s="11">
        <f t="shared" si="2"/>
        <v>4.5</v>
      </c>
      <c r="E76" s="11">
        <f t="shared" si="3"/>
        <v>86</v>
      </c>
      <c r="F76" s="11">
        <f t="shared" si="0"/>
        <v>-3.5</v>
      </c>
    </row>
    <row r="77" spans="1:6" x14ac:dyDescent="0.35">
      <c r="A77" s="11"/>
      <c r="B77" s="13"/>
    </row>
    <row r="78" spans="1:6" x14ac:dyDescent="0.35">
      <c r="A78" s="11"/>
      <c r="B78" s="13"/>
    </row>
    <row r="79" spans="1:6" ht="21" x14ac:dyDescent="0.35">
      <c r="A79" s="14" t="s">
        <v>46</v>
      </c>
      <c r="B79" s="15"/>
    </row>
    <row r="80" spans="1:6" x14ac:dyDescent="0.35">
      <c r="A80" s="11"/>
      <c r="B80" s="13"/>
    </row>
    <row r="81" spans="1:2" x14ac:dyDescent="0.35">
      <c r="A81" s="11"/>
      <c r="B81" s="13"/>
    </row>
    <row r="82" spans="1:2" x14ac:dyDescent="0.35">
      <c r="A82" s="11"/>
      <c r="B82" s="13"/>
    </row>
    <row r="83" spans="1:2" x14ac:dyDescent="0.35">
      <c r="A83" s="11"/>
      <c r="B83" s="13"/>
    </row>
    <row r="84" spans="1:2" x14ac:dyDescent="0.35">
      <c r="A84" s="11"/>
      <c r="B84" s="13"/>
    </row>
    <row r="85" spans="1:2" x14ac:dyDescent="0.35">
      <c r="A85" s="11"/>
      <c r="B85" s="13"/>
    </row>
    <row r="86" spans="1:2" x14ac:dyDescent="0.35">
      <c r="A86" s="11"/>
      <c r="B86" s="13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063AE-5144-46A6-B424-C357A8BDD44D}">
  <sheetPr codeName="Feuil1"/>
  <dimension ref="A1:M26"/>
  <sheetViews>
    <sheetView topLeftCell="A5" workbookViewId="0">
      <selection activeCell="K23" sqref="K23"/>
    </sheetView>
  </sheetViews>
  <sheetFormatPr baseColWidth="10" defaultRowHeight="14.5" x14ac:dyDescent="0.35"/>
  <cols>
    <col min="10" max="10" width="20.54296875" bestFit="1" customWidth="1"/>
    <col min="11" max="11" width="16.453125" bestFit="1" customWidth="1"/>
    <col min="13" max="13" width="16.26953125" bestFit="1" customWidth="1"/>
  </cols>
  <sheetData>
    <row r="1" spans="1:12" x14ac:dyDescent="0.35">
      <c r="A1" s="16" t="s">
        <v>47</v>
      </c>
    </row>
    <row r="2" spans="1:12" ht="21" x14ac:dyDescent="0.5">
      <c r="A2" s="16"/>
      <c r="J2" s="20" t="s">
        <v>61</v>
      </c>
    </row>
    <row r="3" spans="1:12" x14ac:dyDescent="0.35">
      <c r="A3" s="17" t="s">
        <v>59</v>
      </c>
    </row>
    <row r="4" spans="1:12" x14ac:dyDescent="0.35">
      <c r="A4" s="17" t="s">
        <v>48</v>
      </c>
      <c r="B4" s="17" t="s">
        <v>68</v>
      </c>
      <c r="C4" s="17"/>
      <c r="D4" s="17"/>
      <c r="E4" s="17"/>
      <c r="F4" s="17"/>
      <c r="J4" s="21" t="s">
        <v>73</v>
      </c>
    </row>
    <row r="5" spans="1:12" x14ac:dyDescent="0.35">
      <c r="A5" s="17" t="s">
        <v>49</v>
      </c>
      <c r="B5" s="17" t="s">
        <v>50</v>
      </c>
      <c r="C5" s="17"/>
      <c r="D5" s="17"/>
      <c r="E5" s="17"/>
      <c r="F5" s="17"/>
      <c r="J5" s="21"/>
    </row>
    <row r="6" spans="1:12" x14ac:dyDescent="0.35">
      <c r="A6" s="17" t="s">
        <v>51</v>
      </c>
      <c r="B6" s="17" t="s">
        <v>52</v>
      </c>
      <c r="C6" s="17"/>
      <c r="D6" s="17"/>
      <c r="E6" s="17"/>
      <c r="F6" s="17"/>
      <c r="J6" s="22" t="s">
        <v>62</v>
      </c>
      <c r="K6">
        <v>80</v>
      </c>
      <c r="L6" s="23"/>
    </row>
    <row r="7" spans="1:12" ht="15.5" x14ac:dyDescent="0.4">
      <c r="A7" s="17" t="s">
        <v>53</v>
      </c>
      <c r="B7" s="17" t="s">
        <v>54</v>
      </c>
      <c r="C7" s="17"/>
      <c r="D7" s="17"/>
      <c r="E7" s="17"/>
      <c r="F7" s="17"/>
      <c r="J7" s="22" t="s">
        <v>63</v>
      </c>
      <c r="K7">
        <v>80</v>
      </c>
      <c r="L7" s="23"/>
    </row>
    <row r="8" spans="1:12" x14ac:dyDescent="0.35">
      <c r="A8" s="18" t="s">
        <v>55</v>
      </c>
      <c r="B8" s="17" t="s">
        <v>60</v>
      </c>
      <c r="C8" s="17"/>
      <c r="D8" s="17"/>
      <c r="E8" s="17"/>
      <c r="F8" s="17"/>
      <c r="J8" s="22" t="s">
        <v>64</v>
      </c>
      <c r="K8">
        <v>6</v>
      </c>
      <c r="L8" s="23"/>
    </row>
    <row r="9" spans="1:12" x14ac:dyDescent="0.35">
      <c r="A9" s="17"/>
      <c r="B9" s="17"/>
      <c r="C9" s="17"/>
      <c r="D9" s="17"/>
      <c r="E9" s="17"/>
      <c r="F9" s="17"/>
      <c r="J9" s="22" t="s">
        <v>65</v>
      </c>
      <c r="K9">
        <f>K8/12</f>
        <v>0.5</v>
      </c>
      <c r="L9" s="23"/>
    </row>
    <row r="10" spans="1:12" x14ac:dyDescent="0.35">
      <c r="A10" s="17" t="s">
        <v>56</v>
      </c>
      <c r="B10" s="17"/>
      <c r="C10" s="17"/>
      <c r="D10" s="17"/>
      <c r="E10" s="17"/>
      <c r="F10" s="17"/>
      <c r="J10" s="22" t="s">
        <v>66</v>
      </c>
      <c r="K10" s="24">
        <v>0.02</v>
      </c>
    </row>
    <row r="11" spans="1:12" x14ac:dyDescent="0.35">
      <c r="J11" s="22" t="s">
        <v>67</v>
      </c>
      <c r="K11" s="24">
        <v>0.18</v>
      </c>
      <c r="L11" s="23"/>
    </row>
    <row r="13" spans="1:12" x14ac:dyDescent="0.35">
      <c r="J13" s="29" t="s">
        <v>74</v>
      </c>
    </row>
    <row r="14" spans="1:12" ht="15" thickBot="1" x14ac:dyDescent="0.4">
      <c r="A14" t="s">
        <v>57</v>
      </c>
    </row>
    <row r="15" spans="1:12" ht="15" thickBot="1" x14ac:dyDescent="0.4">
      <c r="J15" s="26" t="s">
        <v>71</v>
      </c>
      <c r="K15" s="27">
        <v>4.4496787841491559</v>
      </c>
    </row>
    <row r="16" spans="1:12" ht="15" thickBot="1" x14ac:dyDescent="0.4">
      <c r="E16" s="25" t="s">
        <v>69</v>
      </c>
    </row>
    <row r="17" spans="1:13" ht="15" thickBot="1" x14ac:dyDescent="0.4">
      <c r="J17" s="26" t="s">
        <v>72</v>
      </c>
      <c r="K17" s="28">
        <v>3.6536654840826039</v>
      </c>
    </row>
    <row r="19" spans="1:13" x14ac:dyDescent="0.35">
      <c r="M19" t="s">
        <v>76</v>
      </c>
    </row>
    <row r="20" spans="1:13" x14ac:dyDescent="0.35">
      <c r="E20" s="25" t="s">
        <v>70</v>
      </c>
    </row>
    <row r="21" spans="1:13" x14ac:dyDescent="0.35">
      <c r="J21" s="30" t="s">
        <v>75</v>
      </c>
    </row>
    <row r="22" spans="1:13" ht="15" thickBot="1" x14ac:dyDescent="0.4"/>
    <row r="23" spans="1:13" ht="15" thickBot="1" x14ac:dyDescent="0.4">
      <c r="J23" s="26" t="s">
        <v>71</v>
      </c>
      <c r="K23" s="27" cm="1">
        <f t="array" ref="K23">BS_V2(K6,K7,K8*30,K10,K11,"c")</f>
        <v>4.4496787841491559</v>
      </c>
    </row>
    <row r="24" spans="1:13" ht="15" thickBot="1" x14ac:dyDescent="0.4"/>
    <row r="25" spans="1:13" ht="15" thickBot="1" x14ac:dyDescent="0.4">
      <c r="J25" s="26" t="s">
        <v>72</v>
      </c>
      <c r="K25" s="28" cm="1">
        <f t="array" ref="K25">BS_V2(K6,K7,K8*30,K10,K11,"p")</f>
        <v>3.6536654840826039</v>
      </c>
    </row>
    <row r="26" spans="1:13" x14ac:dyDescent="0.35">
      <c r="A26" s="19" t="s">
        <v>58</v>
      </c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DSMT4" shapeId="1025" r:id="rId3">
          <objectPr defaultSize="0" autoPict="0" r:id="rId4">
            <anchor moveWithCells="1">
              <from>
                <xdr:col>0</xdr:col>
                <xdr:colOff>152400</xdr:colOff>
                <xdr:row>13</xdr:row>
                <xdr:rowOff>158750</xdr:rowOff>
              </from>
              <to>
                <xdr:col>2</xdr:col>
                <xdr:colOff>412750</xdr:colOff>
                <xdr:row>17</xdr:row>
                <xdr:rowOff>127000</xdr:rowOff>
              </to>
            </anchor>
          </objectPr>
        </oleObject>
      </mc:Choice>
      <mc:Fallback>
        <oleObject progId="Equation.DSMT4" shapeId="1025" r:id="rId3"/>
      </mc:Fallback>
    </mc:AlternateContent>
    <mc:AlternateContent xmlns:mc="http://schemas.openxmlformats.org/markup-compatibility/2006">
      <mc:Choice Requires="x14">
        <oleObject progId="Equation.DSMT4" shapeId="1026" r:id="rId5">
          <objectPr defaultSize="0" autoPict="0" r:id="rId6">
            <anchor moveWithCells="1">
              <from>
                <xdr:col>0</xdr:col>
                <xdr:colOff>158750</xdr:colOff>
                <xdr:row>17</xdr:row>
                <xdr:rowOff>152400</xdr:rowOff>
              </from>
              <to>
                <xdr:col>3</xdr:col>
                <xdr:colOff>400050</xdr:colOff>
                <xdr:row>21</xdr:row>
                <xdr:rowOff>127000</xdr:rowOff>
              </to>
            </anchor>
          </objectPr>
        </oleObject>
      </mc:Choice>
      <mc:Fallback>
        <oleObject progId="Equation.DSMT4" shapeId="1026" r:id="rId5"/>
      </mc:Fallback>
    </mc:AlternateContent>
    <mc:AlternateContent xmlns:mc="http://schemas.openxmlformats.org/markup-compatibility/2006">
      <mc:Choice Requires="x14">
        <oleObject progId="Equation.DSMT4" shapeId="1027" r:id="rId7">
          <objectPr defaultSize="0" autoPict="0" r:id="rId8">
            <anchor moveWithCells="1">
              <from>
                <xdr:col>0</xdr:col>
                <xdr:colOff>95250</xdr:colOff>
                <xdr:row>10</xdr:row>
                <xdr:rowOff>88900</xdr:rowOff>
              </from>
              <to>
                <xdr:col>3</xdr:col>
                <xdr:colOff>279400</xdr:colOff>
                <xdr:row>12</xdr:row>
                <xdr:rowOff>69850</xdr:rowOff>
              </to>
            </anchor>
          </objectPr>
        </oleObject>
      </mc:Choice>
      <mc:Fallback>
        <oleObject progId="Equation.DSMT4" shapeId="1027" r:id="rId7"/>
      </mc:Fallback>
    </mc:AlternateContent>
    <mc:AlternateContent xmlns:mc="http://schemas.openxmlformats.org/markup-compatibility/2006">
      <mc:Choice Requires="x14">
        <oleObject progId="Equation.DSMT4" shapeId="1028" r:id="rId9">
          <objectPr defaultSize="0" autoPict="0" r:id="rId10">
            <anchor moveWithCells="1">
              <from>
                <xdr:col>5</xdr:col>
                <xdr:colOff>19050</xdr:colOff>
                <xdr:row>23</xdr:row>
                <xdr:rowOff>82550</xdr:rowOff>
              </from>
              <to>
                <xdr:col>8</xdr:col>
                <xdr:colOff>203200</xdr:colOff>
                <xdr:row>26</xdr:row>
                <xdr:rowOff>101600</xdr:rowOff>
              </to>
            </anchor>
          </objectPr>
        </oleObject>
      </mc:Choice>
      <mc:Fallback>
        <oleObject progId="Equation.DSMT4" shapeId="1028" r:id="rId9"/>
      </mc:Fallback>
    </mc:AlternateContent>
    <mc:AlternateContent xmlns:mc="http://schemas.openxmlformats.org/markup-compatibility/2006">
      <mc:Choice Requires="x14">
        <oleObject progId="Equation.DSMT4" shapeId="1029" r:id="rId11">
          <objectPr defaultSize="0" autoPict="0" r:id="rId8">
            <anchor moveWithCells="1">
              <from>
                <xdr:col>4</xdr:col>
                <xdr:colOff>95250</xdr:colOff>
                <xdr:row>16</xdr:row>
                <xdr:rowOff>88900</xdr:rowOff>
              </from>
              <to>
                <xdr:col>7</xdr:col>
                <xdr:colOff>336550</xdr:colOff>
                <xdr:row>18</xdr:row>
                <xdr:rowOff>114300</xdr:rowOff>
              </to>
            </anchor>
          </objectPr>
        </oleObject>
      </mc:Choice>
      <mc:Fallback>
        <oleObject progId="Equation.DSMT4" shapeId="1029" r:id="rId11"/>
      </mc:Fallback>
    </mc:AlternateContent>
    <mc:AlternateContent xmlns:mc="http://schemas.openxmlformats.org/markup-compatibility/2006">
      <mc:Choice Requires="x14">
        <oleObject progId="Equation.DSMT4" shapeId="1030" r:id="rId12">
          <objectPr defaultSize="0" autoPict="0" r:id="rId13">
            <anchor moveWithCells="1">
              <from>
                <xdr:col>4</xdr:col>
                <xdr:colOff>107950</xdr:colOff>
                <xdr:row>20</xdr:row>
                <xdr:rowOff>69850</xdr:rowOff>
              </from>
              <to>
                <xdr:col>7</xdr:col>
                <xdr:colOff>336550</xdr:colOff>
                <xdr:row>22</xdr:row>
                <xdr:rowOff>12700</xdr:rowOff>
              </to>
            </anchor>
          </objectPr>
        </oleObject>
      </mc:Choice>
      <mc:Fallback>
        <oleObject progId="Equation.DSMT4" shapeId="1030" r:id="rId12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8E7E9-E704-47B2-8AAD-DEB5933AF801}">
  <sheetPr codeName="Feuil3"/>
  <dimension ref="A1:L215"/>
  <sheetViews>
    <sheetView topLeftCell="A191" workbookViewId="0">
      <selection activeCell="H5" sqref="H5"/>
    </sheetView>
  </sheetViews>
  <sheetFormatPr baseColWidth="10" defaultRowHeight="14.5" x14ac:dyDescent="0.35"/>
  <cols>
    <col min="1" max="1" width="23.54296875" style="31" customWidth="1"/>
    <col min="2" max="6" width="12.81640625" style="31" bestFit="1" customWidth="1"/>
  </cols>
  <sheetData>
    <row r="1" spans="1:8" ht="16" thickBot="1" x14ac:dyDescent="0.4">
      <c r="A1" s="32" t="s">
        <v>79</v>
      </c>
      <c r="B1" s="33" t="s">
        <v>80</v>
      </c>
      <c r="C1" s="33" t="s">
        <v>81</v>
      </c>
      <c r="D1" s="33" t="s">
        <v>82</v>
      </c>
      <c r="E1" s="33" t="s">
        <v>83</v>
      </c>
      <c r="F1" s="34" t="s">
        <v>84</v>
      </c>
      <c r="G1" s="51" t="s">
        <v>101</v>
      </c>
    </row>
    <row r="2" spans="1:8" ht="16" x14ac:dyDescent="0.35">
      <c r="A2" s="35">
        <v>0</v>
      </c>
      <c r="B2" s="36">
        <v>80</v>
      </c>
      <c r="C2" s="36">
        <v>80</v>
      </c>
      <c r="D2" s="36">
        <v>80</v>
      </c>
      <c r="E2" s="36">
        <v>80</v>
      </c>
      <c r="F2" s="37">
        <v>80</v>
      </c>
      <c r="G2">
        <f>$K$22</f>
        <v>80</v>
      </c>
    </row>
    <row r="3" spans="1:8" ht="16" x14ac:dyDescent="0.35">
      <c r="A3" s="38">
        <v>1</v>
      </c>
      <c r="B3" s="36">
        <f t="shared" ref="B3:B34" ca="1" si="0">B2*EXP(($K$27-0.5*$K$28^2)*$K$26+$K$28*_xlfn.NORM.S.INV(RAND())*SQRT($K$26))</f>
        <v>80.728664806295072</v>
      </c>
      <c r="C3" s="36">
        <f t="shared" ref="C3:C34" ca="1" si="1">C2*EXP(($K$27-0.5*$K$28^2)*$K$26+$K$28*_xlfn.NORM.S.INV(RAND())*SQRT($K$26))</f>
        <v>80.173360982499503</v>
      </c>
      <c r="D3" s="36">
        <f t="shared" ref="D3:D34" ca="1" si="2">D2*EXP(($K$27-0.5*$K$28^2)*$K$26+$K$28*_xlfn.NORM.S.INV(RAND())*SQRT($K$26))</f>
        <v>80.520463022440822</v>
      </c>
      <c r="E3" s="36">
        <f t="shared" ref="E3:E34" ca="1" si="3">E2*EXP(($K$27-0.5*$K$28^2)*$K$26+$K$28*_xlfn.NORM.S.INV(RAND())*SQRT($K$26))</f>
        <v>81.369993848853056</v>
      </c>
      <c r="F3" s="37">
        <f t="shared" ref="F3:F34" ca="1" si="4">F2*EXP(($K$27-0.5*$K$28^2)*$K$26+$K$28*_xlfn.NORM.S.INV(RAND())*SQRT($K$26))</f>
        <v>81.273195501311449</v>
      </c>
      <c r="G3">
        <f t="shared" ref="G3:G66" si="5">$K$22</f>
        <v>80</v>
      </c>
      <c r="H3" s="49" t="s">
        <v>92</v>
      </c>
    </row>
    <row r="4" spans="1:8" ht="16" x14ac:dyDescent="0.35">
      <c r="A4" s="38">
        <f>A3+1</f>
        <v>2</v>
      </c>
      <c r="B4" s="36">
        <f t="shared" ca="1" si="0"/>
        <v>79.552394826562292</v>
      </c>
      <c r="C4" s="36">
        <f t="shared" ca="1" si="1"/>
        <v>79.728140268404928</v>
      </c>
      <c r="D4" s="36">
        <f t="shared" ca="1" si="2"/>
        <v>80.814922128059436</v>
      </c>
      <c r="E4" s="36">
        <f t="shared" ca="1" si="3"/>
        <v>80.457405327886676</v>
      </c>
      <c r="F4" s="37">
        <f t="shared" ca="1" si="4"/>
        <v>80.317868719974797</v>
      </c>
      <c r="G4">
        <f t="shared" si="5"/>
        <v>80</v>
      </c>
    </row>
    <row r="5" spans="1:8" ht="16" x14ac:dyDescent="0.35">
      <c r="A5" s="38">
        <f>A4+1</f>
        <v>3</v>
      </c>
      <c r="B5" s="36">
        <f t="shared" ca="1" si="0"/>
        <v>79.659434562256251</v>
      </c>
      <c r="C5" s="36">
        <f t="shared" ca="1" si="1"/>
        <v>79.11181297458883</v>
      </c>
      <c r="D5" s="36">
        <f t="shared" ca="1" si="2"/>
        <v>80.391974359116745</v>
      </c>
      <c r="E5" s="36">
        <f t="shared" ca="1" si="3"/>
        <v>80.725751589301865</v>
      </c>
      <c r="F5" s="37">
        <f t="shared" ca="1" si="4"/>
        <v>80.149984382865583</v>
      </c>
      <c r="G5">
        <f t="shared" si="5"/>
        <v>80</v>
      </c>
    </row>
    <row r="6" spans="1:8" ht="16" x14ac:dyDescent="0.35">
      <c r="A6" s="38">
        <f t="shared" ref="A6:A69" si="6">A5+1</f>
        <v>4</v>
      </c>
      <c r="B6" s="36">
        <f t="shared" ca="1" si="0"/>
        <v>79.977551397030368</v>
      </c>
      <c r="C6" s="36">
        <f t="shared" ca="1" si="1"/>
        <v>78.111841988014262</v>
      </c>
      <c r="D6" s="36">
        <f t="shared" ca="1" si="2"/>
        <v>80.532329638572136</v>
      </c>
      <c r="E6" s="36">
        <f t="shared" ca="1" si="3"/>
        <v>81.140561911217034</v>
      </c>
      <c r="F6" s="37">
        <f t="shared" ca="1" si="4"/>
        <v>79.85333433090122</v>
      </c>
      <c r="G6">
        <f t="shared" si="5"/>
        <v>80</v>
      </c>
    </row>
    <row r="7" spans="1:8" ht="16" x14ac:dyDescent="0.35">
      <c r="A7" s="38">
        <f t="shared" si="6"/>
        <v>5</v>
      </c>
      <c r="B7" s="36">
        <f t="shared" ca="1" si="0"/>
        <v>81.67726012587535</v>
      </c>
      <c r="C7" s="36">
        <f t="shared" ca="1" si="1"/>
        <v>76.979624701246422</v>
      </c>
      <c r="D7" s="36">
        <f t="shared" ca="1" si="2"/>
        <v>80.383263916597855</v>
      </c>
      <c r="E7" s="36">
        <f t="shared" ca="1" si="3"/>
        <v>82.71693661004052</v>
      </c>
      <c r="F7" s="37">
        <f t="shared" ca="1" si="4"/>
        <v>79.906943025839823</v>
      </c>
      <c r="G7">
        <f t="shared" si="5"/>
        <v>80</v>
      </c>
    </row>
    <row r="8" spans="1:8" ht="16" x14ac:dyDescent="0.35">
      <c r="A8" s="38">
        <f t="shared" si="6"/>
        <v>6</v>
      </c>
      <c r="B8" s="36">
        <f t="shared" ca="1" si="0"/>
        <v>81.773118041184787</v>
      </c>
      <c r="C8" s="36">
        <f t="shared" ca="1" si="1"/>
        <v>77.545531456766042</v>
      </c>
      <c r="D8" s="36">
        <f t="shared" ca="1" si="2"/>
        <v>81.289203084236988</v>
      </c>
      <c r="E8" s="36">
        <f t="shared" ca="1" si="3"/>
        <v>82.074932959154708</v>
      </c>
      <c r="F8" s="37">
        <f t="shared" ca="1" si="4"/>
        <v>79.930901595359842</v>
      </c>
      <c r="G8">
        <f t="shared" si="5"/>
        <v>80</v>
      </c>
    </row>
    <row r="9" spans="1:8" ht="16" x14ac:dyDescent="0.35">
      <c r="A9" s="38">
        <f t="shared" si="6"/>
        <v>7</v>
      </c>
      <c r="B9" s="36">
        <f t="shared" ca="1" si="0"/>
        <v>81.578351639651487</v>
      </c>
      <c r="C9" s="36">
        <f t="shared" ca="1" si="1"/>
        <v>77.593857183845202</v>
      </c>
      <c r="D9" s="36">
        <f t="shared" ca="1" si="2"/>
        <v>80.668150203996476</v>
      </c>
      <c r="E9" s="36">
        <f t="shared" ca="1" si="3"/>
        <v>81.216593786483656</v>
      </c>
      <c r="F9" s="37">
        <f t="shared" ca="1" si="4"/>
        <v>79.049845427212986</v>
      </c>
      <c r="G9">
        <f t="shared" si="5"/>
        <v>80</v>
      </c>
    </row>
    <row r="10" spans="1:8" ht="16" x14ac:dyDescent="0.35">
      <c r="A10" s="38">
        <f t="shared" si="6"/>
        <v>8</v>
      </c>
      <c r="B10" s="36">
        <f t="shared" ca="1" si="0"/>
        <v>82.186836118389508</v>
      </c>
      <c r="C10" s="36">
        <f t="shared" ca="1" si="1"/>
        <v>77.501080996480269</v>
      </c>
      <c r="D10" s="36">
        <f t="shared" ca="1" si="2"/>
        <v>81.194004825638999</v>
      </c>
      <c r="E10" s="36">
        <f t="shared" ca="1" si="3"/>
        <v>81.220287912133955</v>
      </c>
      <c r="F10" s="37">
        <f t="shared" ca="1" si="4"/>
        <v>79.954457640690549</v>
      </c>
      <c r="G10">
        <f t="shared" si="5"/>
        <v>80</v>
      </c>
    </row>
    <row r="11" spans="1:8" ht="16" x14ac:dyDescent="0.35">
      <c r="A11" s="38">
        <f t="shared" si="6"/>
        <v>9</v>
      </c>
      <c r="B11" s="36">
        <f t="shared" ca="1" si="0"/>
        <v>82.249439528178414</v>
      </c>
      <c r="C11" s="36">
        <f t="shared" ca="1" si="1"/>
        <v>78.239239058263053</v>
      </c>
      <c r="D11" s="36">
        <f t="shared" ca="1" si="2"/>
        <v>82.433730423248861</v>
      </c>
      <c r="E11" s="36">
        <f t="shared" ca="1" si="3"/>
        <v>81.73574194807442</v>
      </c>
      <c r="F11" s="37">
        <f t="shared" ca="1" si="4"/>
        <v>80.496919797372328</v>
      </c>
      <c r="G11">
        <f t="shared" si="5"/>
        <v>80</v>
      </c>
    </row>
    <row r="12" spans="1:8" ht="16" x14ac:dyDescent="0.35">
      <c r="A12" s="38">
        <f t="shared" si="6"/>
        <v>10</v>
      </c>
      <c r="B12" s="36">
        <f t="shared" ca="1" si="0"/>
        <v>82.044995216123638</v>
      </c>
      <c r="C12" s="36">
        <f t="shared" ca="1" si="1"/>
        <v>79.50085677681966</v>
      </c>
      <c r="D12" s="36">
        <f t="shared" ca="1" si="2"/>
        <v>82.332078495506565</v>
      </c>
      <c r="E12" s="36">
        <f t="shared" ca="1" si="3"/>
        <v>81.355145428084001</v>
      </c>
      <c r="F12" s="37">
        <f t="shared" ca="1" si="4"/>
        <v>79.804288632142487</v>
      </c>
      <c r="G12">
        <f t="shared" si="5"/>
        <v>80</v>
      </c>
    </row>
    <row r="13" spans="1:8" ht="16" x14ac:dyDescent="0.35">
      <c r="A13" s="38">
        <f t="shared" si="6"/>
        <v>11</v>
      </c>
      <c r="B13" s="36">
        <f t="shared" ca="1" si="0"/>
        <v>81.949036329720158</v>
      </c>
      <c r="C13" s="36">
        <f t="shared" ca="1" si="1"/>
        <v>80.6736759835226</v>
      </c>
      <c r="D13" s="36">
        <f t="shared" ca="1" si="2"/>
        <v>82.734398385681416</v>
      </c>
      <c r="E13" s="36">
        <f t="shared" ca="1" si="3"/>
        <v>81.360795088393502</v>
      </c>
      <c r="F13" s="37">
        <f t="shared" ca="1" si="4"/>
        <v>79.94965865007461</v>
      </c>
      <c r="G13">
        <f t="shared" si="5"/>
        <v>80</v>
      </c>
    </row>
    <row r="14" spans="1:8" ht="16" x14ac:dyDescent="0.35">
      <c r="A14" s="38">
        <f t="shared" si="6"/>
        <v>12</v>
      </c>
      <c r="B14" s="36">
        <f t="shared" ca="1" si="0"/>
        <v>81.220029852829811</v>
      </c>
      <c r="C14" s="36">
        <f t="shared" ca="1" si="1"/>
        <v>80.484095461275146</v>
      </c>
      <c r="D14" s="36">
        <f t="shared" ca="1" si="2"/>
        <v>82.967291207186378</v>
      </c>
      <c r="E14" s="36">
        <f t="shared" ca="1" si="3"/>
        <v>81.12818026471713</v>
      </c>
      <c r="F14" s="37">
        <f t="shared" ca="1" si="4"/>
        <v>80.485816348954415</v>
      </c>
      <c r="G14">
        <f t="shared" si="5"/>
        <v>80</v>
      </c>
    </row>
    <row r="15" spans="1:8" ht="16" x14ac:dyDescent="0.35">
      <c r="A15" s="38">
        <f t="shared" si="6"/>
        <v>13</v>
      </c>
      <c r="B15" s="36">
        <f t="shared" ca="1" si="0"/>
        <v>82.654578828650074</v>
      </c>
      <c r="C15" s="36">
        <f t="shared" ca="1" si="1"/>
        <v>80.708916662619117</v>
      </c>
      <c r="D15" s="36">
        <f t="shared" ca="1" si="2"/>
        <v>84.36701217018998</v>
      </c>
      <c r="E15" s="36">
        <f t="shared" ca="1" si="3"/>
        <v>81.832146426130436</v>
      </c>
      <c r="F15" s="37">
        <f t="shared" ca="1" si="4"/>
        <v>80.708085476877216</v>
      </c>
      <c r="G15">
        <f t="shared" si="5"/>
        <v>80</v>
      </c>
    </row>
    <row r="16" spans="1:8" ht="16" x14ac:dyDescent="0.35">
      <c r="A16" s="38">
        <f t="shared" si="6"/>
        <v>14</v>
      </c>
      <c r="B16" s="36">
        <f t="shared" ca="1" si="0"/>
        <v>83.124770860932571</v>
      </c>
      <c r="C16" s="36">
        <f t="shared" ca="1" si="1"/>
        <v>80.422101525039395</v>
      </c>
      <c r="D16" s="36">
        <f t="shared" ca="1" si="2"/>
        <v>84.46724248182727</v>
      </c>
      <c r="E16" s="36">
        <f t="shared" ca="1" si="3"/>
        <v>81.692275174807065</v>
      </c>
      <c r="F16" s="37">
        <f t="shared" ca="1" si="4"/>
        <v>79.518110065205377</v>
      </c>
      <c r="G16">
        <f t="shared" si="5"/>
        <v>80</v>
      </c>
    </row>
    <row r="17" spans="1:12" ht="16" x14ac:dyDescent="0.35">
      <c r="A17" s="38">
        <f t="shared" si="6"/>
        <v>15</v>
      </c>
      <c r="B17" s="36">
        <f t="shared" ca="1" si="0"/>
        <v>83.9900617527001</v>
      </c>
      <c r="C17" s="36">
        <f t="shared" ca="1" si="1"/>
        <v>80.037243703299552</v>
      </c>
      <c r="D17" s="36">
        <f t="shared" ca="1" si="2"/>
        <v>85.604972078765499</v>
      </c>
      <c r="E17" s="36">
        <f t="shared" ca="1" si="3"/>
        <v>81.219037051690464</v>
      </c>
      <c r="F17" s="37">
        <f t="shared" ca="1" si="4"/>
        <v>78.735137387003945</v>
      </c>
      <c r="G17">
        <f t="shared" si="5"/>
        <v>80</v>
      </c>
    </row>
    <row r="18" spans="1:12" ht="16" x14ac:dyDescent="0.35">
      <c r="A18" s="38">
        <f t="shared" si="6"/>
        <v>16</v>
      </c>
      <c r="B18" s="36">
        <f t="shared" ca="1" si="0"/>
        <v>84.710245752094906</v>
      </c>
      <c r="C18" s="36">
        <f t="shared" ca="1" si="1"/>
        <v>80.007891987262028</v>
      </c>
      <c r="D18" s="36">
        <f t="shared" ca="1" si="2"/>
        <v>84.509669115960008</v>
      </c>
      <c r="E18" s="36">
        <f t="shared" ca="1" si="3"/>
        <v>81.596438914984319</v>
      </c>
      <c r="F18" s="37">
        <f t="shared" ca="1" si="4"/>
        <v>77.763102403040961</v>
      </c>
      <c r="G18">
        <f t="shared" si="5"/>
        <v>80</v>
      </c>
    </row>
    <row r="19" spans="1:12" ht="16" x14ac:dyDescent="0.35">
      <c r="A19" s="38">
        <f t="shared" si="6"/>
        <v>17</v>
      </c>
      <c r="B19" s="36">
        <f t="shared" ca="1" si="0"/>
        <v>85.170271022347634</v>
      </c>
      <c r="C19" s="36">
        <f t="shared" ca="1" si="1"/>
        <v>79.961728590300368</v>
      </c>
      <c r="D19" s="36">
        <f t="shared" ca="1" si="2"/>
        <v>84.790907877118869</v>
      </c>
      <c r="E19" s="36">
        <f t="shared" ca="1" si="3"/>
        <v>80.930054006374505</v>
      </c>
      <c r="F19" s="37">
        <f t="shared" ca="1" si="4"/>
        <v>77.526896581618956</v>
      </c>
      <c r="G19">
        <f t="shared" si="5"/>
        <v>80</v>
      </c>
      <c r="H19" s="22"/>
      <c r="J19" s="21" t="s">
        <v>73</v>
      </c>
    </row>
    <row r="20" spans="1:12" ht="16" x14ac:dyDescent="0.35">
      <c r="A20" s="38">
        <f t="shared" si="6"/>
        <v>18</v>
      </c>
      <c r="B20" s="36">
        <f t="shared" ca="1" si="0"/>
        <v>85.907599707409062</v>
      </c>
      <c r="C20" s="36">
        <f t="shared" ca="1" si="1"/>
        <v>79.985514506445682</v>
      </c>
      <c r="D20" s="36">
        <f t="shared" ca="1" si="2"/>
        <v>84.559390028486519</v>
      </c>
      <c r="E20" s="36">
        <f t="shared" ca="1" si="3"/>
        <v>81.505734089689426</v>
      </c>
      <c r="F20" s="37">
        <f t="shared" ca="1" si="4"/>
        <v>77.55338270016037</v>
      </c>
      <c r="G20">
        <f t="shared" si="5"/>
        <v>80</v>
      </c>
      <c r="H20" s="22"/>
      <c r="J20" s="21"/>
    </row>
    <row r="21" spans="1:12" ht="16" x14ac:dyDescent="0.35">
      <c r="A21" s="38">
        <f t="shared" si="6"/>
        <v>19</v>
      </c>
      <c r="B21" s="36">
        <f t="shared" ca="1" si="0"/>
        <v>86.730282866971649</v>
      </c>
      <c r="C21" s="36">
        <f t="shared" ca="1" si="1"/>
        <v>80.192443565682865</v>
      </c>
      <c r="D21" s="36">
        <f t="shared" ca="1" si="2"/>
        <v>84.383604671337807</v>
      </c>
      <c r="E21" s="36">
        <f t="shared" ca="1" si="3"/>
        <v>82.066990662446557</v>
      </c>
      <c r="F21" s="37">
        <f t="shared" ca="1" si="4"/>
        <v>77.938538590815043</v>
      </c>
      <c r="G21">
        <f t="shared" si="5"/>
        <v>80</v>
      </c>
      <c r="H21" s="22"/>
      <c r="J21" s="22" t="s">
        <v>62</v>
      </c>
      <c r="K21">
        <v>80</v>
      </c>
    </row>
    <row r="22" spans="1:12" ht="16" x14ac:dyDescent="0.35">
      <c r="A22" s="38">
        <f t="shared" si="6"/>
        <v>20</v>
      </c>
      <c r="B22" s="36">
        <f t="shared" ca="1" si="0"/>
        <v>87.923825237840234</v>
      </c>
      <c r="C22" s="36">
        <f t="shared" ca="1" si="1"/>
        <v>80.499899044021603</v>
      </c>
      <c r="D22" s="36">
        <f t="shared" ca="1" si="2"/>
        <v>85.570864848315424</v>
      </c>
      <c r="E22" s="36">
        <f t="shared" ca="1" si="3"/>
        <v>80.675249823079866</v>
      </c>
      <c r="F22" s="37">
        <f t="shared" ca="1" si="4"/>
        <v>78.518625103937211</v>
      </c>
      <c r="G22">
        <f t="shared" si="5"/>
        <v>80</v>
      </c>
      <c r="H22" s="22"/>
      <c r="J22" s="22" t="s">
        <v>63</v>
      </c>
      <c r="K22">
        <v>80</v>
      </c>
    </row>
    <row r="23" spans="1:12" ht="16" x14ac:dyDescent="0.35">
      <c r="A23" s="38">
        <f t="shared" si="6"/>
        <v>21</v>
      </c>
      <c r="B23" s="36">
        <f t="shared" ca="1" si="0"/>
        <v>86.797666981117914</v>
      </c>
      <c r="C23" s="36">
        <f t="shared" ca="1" si="1"/>
        <v>79.443300783115873</v>
      </c>
      <c r="D23" s="36">
        <f t="shared" ca="1" si="2"/>
        <v>85.253616163160771</v>
      </c>
      <c r="E23" s="36">
        <f t="shared" ca="1" si="3"/>
        <v>80.175115944244368</v>
      </c>
      <c r="F23" s="37">
        <f t="shared" ca="1" si="4"/>
        <v>78.686567400558289</v>
      </c>
      <c r="G23">
        <f t="shared" si="5"/>
        <v>80</v>
      </c>
      <c r="H23" s="22"/>
      <c r="J23" s="22" t="s">
        <v>64</v>
      </c>
      <c r="K23">
        <v>6</v>
      </c>
    </row>
    <row r="24" spans="1:12" ht="16" x14ac:dyDescent="0.35">
      <c r="A24" s="38">
        <f t="shared" si="6"/>
        <v>22</v>
      </c>
      <c r="B24" s="36">
        <f t="shared" ca="1" si="0"/>
        <v>87.671550231887807</v>
      </c>
      <c r="C24" s="36">
        <f t="shared" ca="1" si="1"/>
        <v>78.474055158732909</v>
      </c>
      <c r="D24" s="36">
        <f t="shared" ca="1" si="2"/>
        <v>84.503840449161487</v>
      </c>
      <c r="E24" s="36">
        <f t="shared" ca="1" si="3"/>
        <v>80.466298031607167</v>
      </c>
      <c r="F24" s="37">
        <f t="shared" ca="1" si="4"/>
        <v>78.108279727978427</v>
      </c>
      <c r="G24">
        <f t="shared" si="5"/>
        <v>80</v>
      </c>
      <c r="J24" s="22" t="s">
        <v>65</v>
      </c>
      <c r="K24">
        <f>K23/12</f>
        <v>0.5</v>
      </c>
    </row>
    <row r="25" spans="1:12" ht="16" x14ac:dyDescent="0.35">
      <c r="A25" s="38">
        <f t="shared" si="6"/>
        <v>23</v>
      </c>
      <c r="B25" s="36">
        <f t="shared" ca="1" si="0"/>
        <v>87.50874326663444</v>
      </c>
      <c r="C25" s="36">
        <f t="shared" ca="1" si="1"/>
        <v>78.751184805201845</v>
      </c>
      <c r="D25" s="36">
        <f t="shared" ca="1" si="2"/>
        <v>85.420514248020496</v>
      </c>
      <c r="E25" s="36">
        <f t="shared" ca="1" si="3"/>
        <v>78.925827698646316</v>
      </c>
      <c r="F25" s="37">
        <f t="shared" ca="1" si="4"/>
        <v>77.843152154773364</v>
      </c>
      <c r="G25">
        <f t="shared" si="5"/>
        <v>80</v>
      </c>
      <c r="J25" s="22" t="s">
        <v>85</v>
      </c>
      <c r="K25">
        <v>200</v>
      </c>
    </row>
    <row r="26" spans="1:12" ht="16" x14ac:dyDescent="0.35">
      <c r="A26" s="38">
        <f t="shared" si="6"/>
        <v>24</v>
      </c>
      <c r="B26" s="36">
        <f t="shared" ca="1" si="0"/>
        <v>87.689017268851899</v>
      </c>
      <c r="C26" s="36">
        <f t="shared" ca="1" si="1"/>
        <v>78.983460822978415</v>
      </c>
      <c r="D26" s="36">
        <f t="shared" ca="1" si="2"/>
        <v>85.889258037430537</v>
      </c>
      <c r="E26" s="36">
        <f t="shared" ca="1" si="3"/>
        <v>79.413322039412364</v>
      </c>
      <c r="F26" s="37">
        <f t="shared" ca="1" si="4"/>
        <v>77.799010600004706</v>
      </c>
      <c r="G26">
        <f t="shared" si="5"/>
        <v>80</v>
      </c>
      <c r="J26" s="22" t="s">
        <v>77</v>
      </c>
      <c r="K26">
        <f>K24/K25</f>
        <v>2.5000000000000001E-3</v>
      </c>
    </row>
    <row r="27" spans="1:12" ht="16" x14ac:dyDescent="0.35">
      <c r="A27" s="38">
        <f t="shared" si="6"/>
        <v>25</v>
      </c>
      <c r="B27" s="36">
        <f t="shared" ca="1" si="0"/>
        <v>87.839210479239227</v>
      </c>
      <c r="C27" s="36">
        <f t="shared" ca="1" si="1"/>
        <v>79.192103735899352</v>
      </c>
      <c r="D27" s="36">
        <f t="shared" ca="1" si="2"/>
        <v>85.327331057323008</v>
      </c>
      <c r="E27" s="36">
        <f t="shared" ca="1" si="3"/>
        <v>79.766030453949483</v>
      </c>
      <c r="F27" s="37">
        <f t="shared" ca="1" si="4"/>
        <v>78.069452611052824</v>
      </c>
      <c r="G27">
        <f t="shared" si="5"/>
        <v>80</v>
      </c>
      <c r="J27" s="22" t="s">
        <v>66</v>
      </c>
      <c r="K27" s="24">
        <v>0.02</v>
      </c>
    </row>
    <row r="28" spans="1:12" ht="16" x14ac:dyDescent="0.35">
      <c r="A28" s="38">
        <f t="shared" si="6"/>
        <v>26</v>
      </c>
      <c r="B28" s="36">
        <f t="shared" ca="1" si="0"/>
        <v>88.534218619011966</v>
      </c>
      <c r="C28" s="36">
        <f t="shared" ca="1" si="1"/>
        <v>79.37749427514089</v>
      </c>
      <c r="D28" s="36">
        <f t="shared" ca="1" si="2"/>
        <v>85.921029410465479</v>
      </c>
      <c r="E28" s="36">
        <f t="shared" ca="1" si="3"/>
        <v>79.474734080660852</v>
      </c>
      <c r="F28" s="37">
        <f t="shared" ca="1" si="4"/>
        <v>77.342121250489285</v>
      </c>
      <c r="G28">
        <f t="shared" si="5"/>
        <v>80</v>
      </c>
      <c r="J28" s="22" t="s">
        <v>67</v>
      </c>
      <c r="K28" s="24">
        <v>0.18</v>
      </c>
    </row>
    <row r="29" spans="1:12" ht="16" x14ac:dyDescent="0.35">
      <c r="A29" s="38">
        <f t="shared" si="6"/>
        <v>27</v>
      </c>
      <c r="B29" s="36">
        <f t="shared" ca="1" si="0"/>
        <v>86.411208554846766</v>
      </c>
      <c r="C29" s="36">
        <f t="shared" ca="1" si="1"/>
        <v>79.938128638001274</v>
      </c>
      <c r="D29" s="36">
        <f t="shared" ca="1" si="2"/>
        <v>85.876663712895677</v>
      </c>
      <c r="E29" s="36">
        <f t="shared" ca="1" si="3"/>
        <v>79.507789913711619</v>
      </c>
      <c r="F29" s="37">
        <f t="shared" ca="1" si="4"/>
        <v>76.386202607574461</v>
      </c>
      <c r="G29">
        <f t="shared" si="5"/>
        <v>80</v>
      </c>
    </row>
    <row r="30" spans="1:12" ht="16" x14ac:dyDescent="0.35">
      <c r="A30" s="38">
        <f t="shared" si="6"/>
        <v>28</v>
      </c>
      <c r="B30" s="36">
        <f t="shared" ca="1" si="0"/>
        <v>86.757810309123485</v>
      </c>
      <c r="C30" s="36">
        <f t="shared" ca="1" si="1"/>
        <v>80.291339725442583</v>
      </c>
      <c r="D30" s="36">
        <f t="shared" ca="1" si="2"/>
        <v>86.147075681123511</v>
      </c>
      <c r="E30" s="36">
        <f t="shared" ca="1" si="3"/>
        <v>78.374273955882856</v>
      </c>
      <c r="F30" s="37">
        <f t="shared" ca="1" si="4"/>
        <v>76.745290746701954</v>
      </c>
      <c r="G30">
        <f t="shared" si="5"/>
        <v>80</v>
      </c>
      <c r="J30" t="s">
        <v>78</v>
      </c>
    </row>
    <row r="31" spans="1:12" ht="16" x14ac:dyDescent="0.35">
      <c r="A31" s="38">
        <f t="shared" si="6"/>
        <v>29</v>
      </c>
      <c r="B31" s="36">
        <f t="shared" ca="1" si="0"/>
        <v>86.708725132952821</v>
      </c>
      <c r="C31" s="36">
        <f t="shared" ca="1" si="1"/>
        <v>79.589302978533908</v>
      </c>
      <c r="D31" s="36">
        <f t="shared" ca="1" si="2"/>
        <v>86.499649155761304</v>
      </c>
      <c r="E31" s="36">
        <f t="shared" ca="1" si="3"/>
        <v>78.086685882928421</v>
      </c>
      <c r="F31" s="37">
        <f t="shared" ca="1" si="4"/>
        <v>76.895128823708191</v>
      </c>
      <c r="G31">
        <f t="shared" si="5"/>
        <v>80</v>
      </c>
    </row>
    <row r="32" spans="1:12" ht="16" x14ac:dyDescent="0.35">
      <c r="A32" s="38">
        <f t="shared" si="6"/>
        <v>30</v>
      </c>
      <c r="B32" s="36">
        <f t="shared" ca="1" si="0"/>
        <v>86.731044940841642</v>
      </c>
      <c r="C32" s="36">
        <f t="shared" ca="1" si="1"/>
        <v>79.996843782185692</v>
      </c>
      <c r="D32" s="36">
        <f t="shared" ca="1" si="2"/>
        <v>85.291385912208582</v>
      </c>
      <c r="E32" s="36">
        <f t="shared" ca="1" si="3"/>
        <v>79.300000345446122</v>
      </c>
      <c r="F32" s="37">
        <f t="shared" ca="1" si="4"/>
        <v>75.914370294190377</v>
      </c>
      <c r="G32">
        <f t="shared" si="5"/>
        <v>80</v>
      </c>
      <c r="J32" t="s">
        <v>89</v>
      </c>
      <c r="K32">
        <f ca="1">RAND()</f>
        <v>0.68636345341156335</v>
      </c>
      <c r="L32" t="s">
        <v>90</v>
      </c>
    </row>
    <row r="33" spans="1:11" ht="16" x14ac:dyDescent="0.35">
      <c r="A33" s="38">
        <f t="shared" si="6"/>
        <v>31</v>
      </c>
      <c r="B33" s="36">
        <f t="shared" ca="1" si="0"/>
        <v>86.463259137083199</v>
      </c>
      <c r="C33" s="36">
        <f t="shared" ca="1" si="1"/>
        <v>81.260092118607389</v>
      </c>
      <c r="D33" s="36">
        <f t="shared" ca="1" si="2"/>
        <v>83.062989987359742</v>
      </c>
      <c r="E33" s="36">
        <f t="shared" ca="1" si="3"/>
        <v>78.670387176161526</v>
      </c>
      <c r="F33" s="37">
        <f t="shared" ca="1" si="4"/>
        <v>75.093535006870624</v>
      </c>
      <c r="G33">
        <f t="shared" si="5"/>
        <v>80</v>
      </c>
      <c r="J33" t="s">
        <v>91</v>
      </c>
      <c r="K33">
        <f ca="1">_xlfn.NORM.S.INV(K32)</f>
        <v>0.48556855854593955</v>
      </c>
    </row>
    <row r="34" spans="1:11" ht="16" x14ac:dyDescent="0.35">
      <c r="A34" s="38">
        <f t="shared" si="6"/>
        <v>32</v>
      </c>
      <c r="B34" s="36">
        <f t="shared" ca="1" si="0"/>
        <v>86.532281901441621</v>
      </c>
      <c r="C34" s="36">
        <f t="shared" ca="1" si="1"/>
        <v>81.753959974516505</v>
      </c>
      <c r="D34" s="36">
        <f t="shared" ca="1" si="2"/>
        <v>84.501648252916524</v>
      </c>
      <c r="E34" s="36">
        <f t="shared" ca="1" si="3"/>
        <v>78.534673405646188</v>
      </c>
      <c r="F34" s="37">
        <f t="shared" ca="1" si="4"/>
        <v>76.056996938942845</v>
      </c>
      <c r="G34">
        <f t="shared" si="5"/>
        <v>80</v>
      </c>
    </row>
    <row r="35" spans="1:11" ht="16" x14ac:dyDescent="0.35">
      <c r="A35" s="38">
        <f t="shared" si="6"/>
        <v>33</v>
      </c>
      <c r="B35" s="36">
        <f t="shared" ref="B35:B66" ca="1" si="7">B34*EXP(($K$27-0.5*$K$28^2)*$K$26+$K$28*_xlfn.NORM.S.INV(RAND())*SQRT($K$26))</f>
        <v>85.463745924829396</v>
      </c>
      <c r="C35" s="36">
        <f t="shared" ref="C35:C66" ca="1" si="8">C34*EXP(($K$27-0.5*$K$28^2)*$K$26+$K$28*_xlfn.NORM.S.INV(RAND())*SQRT($K$26))</f>
        <v>83.09224990212401</v>
      </c>
      <c r="D35" s="36">
        <f t="shared" ref="D35:D66" ca="1" si="9">D34*EXP(($K$27-0.5*$K$28^2)*$K$26+$K$28*_xlfn.NORM.S.INV(RAND())*SQRT($K$26))</f>
        <v>84.640797585158225</v>
      </c>
      <c r="E35" s="36">
        <f t="shared" ref="E35:E66" ca="1" si="10">E34*EXP(($K$27-0.5*$K$28^2)*$K$26+$K$28*_xlfn.NORM.S.INV(RAND())*SQRT($K$26))</f>
        <v>78.551050826402374</v>
      </c>
      <c r="F35" s="37">
        <f t="shared" ref="F35:F66" ca="1" si="11">F34*EXP(($K$27-0.5*$K$28^2)*$K$26+$K$28*_xlfn.NORM.S.INV(RAND())*SQRT($K$26))</f>
        <v>76.451248589776569</v>
      </c>
      <c r="G35">
        <f t="shared" si="5"/>
        <v>80</v>
      </c>
    </row>
    <row r="36" spans="1:11" ht="16" x14ac:dyDescent="0.35">
      <c r="A36" s="38">
        <f t="shared" si="6"/>
        <v>34</v>
      </c>
      <c r="B36" s="36">
        <f t="shared" ca="1" si="7"/>
        <v>85.426993218612822</v>
      </c>
      <c r="C36" s="36">
        <f t="shared" ca="1" si="8"/>
        <v>82.860410797109765</v>
      </c>
      <c r="D36" s="36">
        <f t="shared" ca="1" si="9"/>
        <v>84.678280410028478</v>
      </c>
      <c r="E36" s="36">
        <f t="shared" ca="1" si="10"/>
        <v>79.373452373421813</v>
      </c>
      <c r="F36" s="37">
        <f t="shared" ca="1" si="11"/>
        <v>75.855328317385784</v>
      </c>
      <c r="G36">
        <f t="shared" si="5"/>
        <v>80</v>
      </c>
    </row>
    <row r="37" spans="1:11" ht="16" x14ac:dyDescent="0.35">
      <c r="A37" s="38">
        <f t="shared" si="6"/>
        <v>35</v>
      </c>
      <c r="B37" s="36">
        <f t="shared" ca="1" si="7"/>
        <v>83.352314282761498</v>
      </c>
      <c r="C37" s="36">
        <f t="shared" ca="1" si="8"/>
        <v>82.241934000506973</v>
      </c>
      <c r="D37" s="36">
        <f t="shared" ca="1" si="9"/>
        <v>85.753054976758008</v>
      </c>
      <c r="E37" s="36">
        <f t="shared" ca="1" si="10"/>
        <v>79.805171601264576</v>
      </c>
      <c r="F37" s="37">
        <f t="shared" ca="1" si="11"/>
        <v>75.673433495076068</v>
      </c>
      <c r="G37">
        <f t="shared" si="5"/>
        <v>80</v>
      </c>
    </row>
    <row r="38" spans="1:11" ht="16" x14ac:dyDescent="0.35">
      <c r="A38" s="38">
        <f t="shared" si="6"/>
        <v>36</v>
      </c>
      <c r="B38" s="36">
        <f t="shared" ca="1" si="7"/>
        <v>83.352269438706202</v>
      </c>
      <c r="C38" s="36">
        <f t="shared" ca="1" si="8"/>
        <v>83.356347126152698</v>
      </c>
      <c r="D38" s="36">
        <f t="shared" ca="1" si="9"/>
        <v>85.839457497146299</v>
      </c>
      <c r="E38" s="36">
        <f t="shared" ca="1" si="10"/>
        <v>78.842429106398512</v>
      </c>
      <c r="F38" s="37">
        <f t="shared" ca="1" si="11"/>
        <v>75.589624490545489</v>
      </c>
      <c r="G38">
        <f t="shared" si="5"/>
        <v>80</v>
      </c>
    </row>
    <row r="39" spans="1:11" ht="16" x14ac:dyDescent="0.35">
      <c r="A39" s="38">
        <f t="shared" si="6"/>
        <v>37</v>
      </c>
      <c r="B39" s="36">
        <f t="shared" ca="1" si="7"/>
        <v>83.533051914589848</v>
      </c>
      <c r="C39" s="36">
        <f t="shared" ca="1" si="8"/>
        <v>83.658208125661446</v>
      </c>
      <c r="D39" s="36">
        <f t="shared" ca="1" si="9"/>
        <v>84.937090324388819</v>
      </c>
      <c r="E39" s="36">
        <f t="shared" ca="1" si="10"/>
        <v>78.448945114136606</v>
      </c>
      <c r="F39" s="37">
        <f t="shared" ca="1" si="11"/>
        <v>74.996036615061286</v>
      </c>
      <c r="G39">
        <f t="shared" si="5"/>
        <v>80</v>
      </c>
    </row>
    <row r="40" spans="1:11" ht="16" x14ac:dyDescent="0.35">
      <c r="A40" s="38">
        <f t="shared" si="6"/>
        <v>38</v>
      </c>
      <c r="B40" s="36">
        <f t="shared" ca="1" si="7"/>
        <v>83.05032754612418</v>
      </c>
      <c r="C40" s="36">
        <f t="shared" ca="1" si="8"/>
        <v>84.513922797100037</v>
      </c>
      <c r="D40" s="36">
        <f t="shared" ca="1" si="9"/>
        <v>83.842717759690444</v>
      </c>
      <c r="E40" s="36">
        <f t="shared" ca="1" si="10"/>
        <v>77.418522689563346</v>
      </c>
      <c r="F40" s="37">
        <f t="shared" ca="1" si="11"/>
        <v>75.223420068636599</v>
      </c>
      <c r="G40">
        <f t="shared" si="5"/>
        <v>80</v>
      </c>
    </row>
    <row r="41" spans="1:11" ht="16" x14ac:dyDescent="0.35">
      <c r="A41" s="38">
        <f t="shared" si="6"/>
        <v>39</v>
      </c>
      <c r="B41" s="36">
        <f t="shared" ca="1" si="7"/>
        <v>81.08935933202828</v>
      </c>
      <c r="C41" s="36">
        <f t="shared" ca="1" si="8"/>
        <v>85.542538520080498</v>
      </c>
      <c r="D41" s="36">
        <f t="shared" ca="1" si="9"/>
        <v>85.487504737752019</v>
      </c>
      <c r="E41" s="36">
        <f t="shared" ca="1" si="10"/>
        <v>77.187565430245527</v>
      </c>
      <c r="F41" s="37">
        <f t="shared" ca="1" si="11"/>
        <v>75.170488933922144</v>
      </c>
      <c r="G41">
        <f t="shared" si="5"/>
        <v>80</v>
      </c>
    </row>
    <row r="42" spans="1:11" ht="16" x14ac:dyDescent="0.35">
      <c r="A42" s="38">
        <f t="shared" si="6"/>
        <v>40</v>
      </c>
      <c r="B42" s="36">
        <f t="shared" ca="1" si="7"/>
        <v>81.15087939310169</v>
      </c>
      <c r="C42" s="36">
        <f t="shared" ca="1" si="8"/>
        <v>83.65918836340515</v>
      </c>
      <c r="D42" s="36">
        <f t="shared" ca="1" si="9"/>
        <v>84.648723421603592</v>
      </c>
      <c r="E42" s="36">
        <f t="shared" ca="1" si="10"/>
        <v>76.263461379556588</v>
      </c>
      <c r="F42" s="37">
        <f t="shared" ca="1" si="11"/>
        <v>75.27257584943095</v>
      </c>
      <c r="G42">
        <f t="shared" si="5"/>
        <v>80</v>
      </c>
    </row>
    <row r="43" spans="1:11" ht="16" x14ac:dyDescent="0.35">
      <c r="A43" s="38">
        <f t="shared" si="6"/>
        <v>41</v>
      </c>
      <c r="B43" s="36">
        <f t="shared" ca="1" si="7"/>
        <v>82.481111163455054</v>
      </c>
      <c r="C43" s="36">
        <f t="shared" ca="1" si="8"/>
        <v>82.72458446613993</v>
      </c>
      <c r="D43" s="36">
        <f t="shared" ca="1" si="9"/>
        <v>84.827472828269165</v>
      </c>
      <c r="E43" s="36">
        <f t="shared" ca="1" si="10"/>
        <v>75.919026417797397</v>
      </c>
      <c r="F43" s="37">
        <f t="shared" ca="1" si="11"/>
        <v>74.721496150378869</v>
      </c>
      <c r="G43">
        <f t="shared" si="5"/>
        <v>80</v>
      </c>
    </row>
    <row r="44" spans="1:11" ht="16" x14ac:dyDescent="0.35">
      <c r="A44" s="38">
        <f t="shared" si="6"/>
        <v>42</v>
      </c>
      <c r="B44" s="36">
        <f t="shared" ca="1" si="7"/>
        <v>82.460983897734991</v>
      </c>
      <c r="C44" s="36">
        <f t="shared" ca="1" si="8"/>
        <v>82.453934748761966</v>
      </c>
      <c r="D44" s="36">
        <f t="shared" ca="1" si="9"/>
        <v>85.241502911638079</v>
      </c>
      <c r="E44" s="36">
        <f t="shared" ca="1" si="10"/>
        <v>74.774685573736676</v>
      </c>
      <c r="F44" s="37">
        <f t="shared" ca="1" si="11"/>
        <v>74.410589947285573</v>
      </c>
      <c r="G44">
        <f t="shared" si="5"/>
        <v>80</v>
      </c>
    </row>
    <row r="45" spans="1:11" ht="16" x14ac:dyDescent="0.35">
      <c r="A45" s="38">
        <f t="shared" si="6"/>
        <v>43</v>
      </c>
      <c r="B45" s="36">
        <f t="shared" ca="1" si="7"/>
        <v>81.199314639242601</v>
      </c>
      <c r="C45" s="36">
        <f t="shared" ca="1" si="8"/>
        <v>82.834547440420252</v>
      </c>
      <c r="D45" s="36">
        <f t="shared" ca="1" si="9"/>
        <v>84.767022972950627</v>
      </c>
      <c r="E45" s="36">
        <f t="shared" ca="1" si="10"/>
        <v>75.082140363758427</v>
      </c>
      <c r="F45" s="37">
        <f t="shared" ca="1" si="11"/>
        <v>73.998696285128474</v>
      </c>
      <c r="G45">
        <f t="shared" si="5"/>
        <v>80</v>
      </c>
    </row>
    <row r="46" spans="1:11" ht="16" x14ac:dyDescent="0.35">
      <c r="A46" s="38">
        <f t="shared" si="6"/>
        <v>44</v>
      </c>
      <c r="B46" s="36">
        <f t="shared" ca="1" si="7"/>
        <v>80.497513925757175</v>
      </c>
      <c r="C46" s="36">
        <f t="shared" ca="1" si="8"/>
        <v>81.494826345215031</v>
      </c>
      <c r="D46" s="36">
        <f t="shared" ca="1" si="9"/>
        <v>86.047770606656812</v>
      </c>
      <c r="E46" s="36">
        <f t="shared" ca="1" si="10"/>
        <v>74.562675930792878</v>
      </c>
      <c r="F46" s="37">
        <f t="shared" ca="1" si="11"/>
        <v>73.943876512301657</v>
      </c>
      <c r="G46">
        <f t="shared" si="5"/>
        <v>80</v>
      </c>
    </row>
    <row r="47" spans="1:11" ht="16" x14ac:dyDescent="0.35">
      <c r="A47" s="38">
        <f t="shared" si="6"/>
        <v>45</v>
      </c>
      <c r="B47" s="36">
        <f t="shared" ca="1" si="7"/>
        <v>81.272834369995394</v>
      </c>
      <c r="C47" s="36">
        <f t="shared" ca="1" si="8"/>
        <v>81.841549139643234</v>
      </c>
      <c r="D47" s="36">
        <f t="shared" ca="1" si="9"/>
        <v>85.656367042401456</v>
      </c>
      <c r="E47" s="36">
        <f t="shared" ca="1" si="10"/>
        <v>73.693798725418759</v>
      </c>
      <c r="F47" s="37">
        <f t="shared" ca="1" si="11"/>
        <v>74.685419820828159</v>
      </c>
      <c r="G47">
        <f t="shared" si="5"/>
        <v>80</v>
      </c>
    </row>
    <row r="48" spans="1:11" ht="16" x14ac:dyDescent="0.35">
      <c r="A48" s="38">
        <f t="shared" si="6"/>
        <v>46</v>
      </c>
      <c r="B48" s="36">
        <f t="shared" ca="1" si="7"/>
        <v>80.680666744938407</v>
      </c>
      <c r="C48" s="36">
        <f t="shared" ca="1" si="8"/>
        <v>82.698688574668083</v>
      </c>
      <c r="D48" s="36">
        <f t="shared" ca="1" si="9"/>
        <v>85.114439040539366</v>
      </c>
      <c r="E48" s="36">
        <f t="shared" ca="1" si="10"/>
        <v>73.695278227159847</v>
      </c>
      <c r="F48" s="37">
        <f t="shared" ca="1" si="11"/>
        <v>74.148875651067797</v>
      </c>
      <c r="G48">
        <f t="shared" si="5"/>
        <v>80</v>
      </c>
    </row>
    <row r="49" spans="1:7" ht="16" x14ac:dyDescent="0.35">
      <c r="A49" s="38">
        <f t="shared" si="6"/>
        <v>47</v>
      </c>
      <c r="B49" s="36">
        <f t="shared" ca="1" si="7"/>
        <v>80.5406062729692</v>
      </c>
      <c r="C49" s="36">
        <f t="shared" ca="1" si="8"/>
        <v>82.362609247263975</v>
      </c>
      <c r="D49" s="36">
        <f t="shared" ca="1" si="9"/>
        <v>84.730284786815687</v>
      </c>
      <c r="E49" s="36">
        <f t="shared" ca="1" si="10"/>
        <v>74.403266560955032</v>
      </c>
      <c r="F49" s="37">
        <f t="shared" ca="1" si="11"/>
        <v>74.510828261474558</v>
      </c>
      <c r="G49">
        <f t="shared" si="5"/>
        <v>80</v>
      </c>
    </row>
    <row r="50" spans="1:7" ht="16" x14ac:dyDescent="0.35">
      <c r="A50" s="38">
        <f t="shared" si="6"/>
        <v>48</v>
      </c>
      <c r="B50" s="36">
        <f t="shared" ca="1" si="7"/>
        <v>80.641405701282977</v>
      </c>
      <c r="C50" s="36">
        <f t="shared" ca="1" si="8"/>
        <v>81.369312095031148</v>
      </c>
      <c r="D50" s="36">
        <f t="shared" ca="1" si="9"/>
        <v>84.67859445789469</v>
      </c>
      <c r="E50" s="36">
        <f t="shared" ca="1" si="10"/>
        <v>73.687304965696157</v>
      </c>
      <c r="F50" s="37">
        <f t="shared" ca="1" si="11"/>
        <v>75.087039157181025</v>
      </c>
      <c r="G50">
        <f t="shared" si="5"/>
        <v>80</v>
      </c>
    </row>
    <row r="51" spans="1:7" ht="16" x14ac:dyDescent="0.35">
      <c r="A51" s="38">
        <f t="shared" si="6"/>
        <v>49</v>
      </c>
      <c r="B51" s="36">
        <f t="shared" ca="1" si="7"/>
        <v>81.116925443900101</v>
      </c>
      <c r="C51" s="36">
        <f t="shared" ca="1" si="8"/>
        <v>81.084971086823131</v>
      </c>
      <c r="D51" s="36">
        <f t="shared" ca="1" si="9"/>
        <v>85.339713220170594</v>
      </c>
      <c r="E51" s="36">
        <f t="shared" ca="1" si="10"/>
        <v>73.392156037586744</v>
      </c>
      <c r="F51" s="37">
        <f t="shared" ca="1" si="11"/>
        <v>75.009751452921037</v>
      </c>
      <c r="G51">
        <f t="shared" si="5"/>
        <v>80</v>
      </c>
    </row>
    <row r="52" spans="1:7" ht="16" x14ac:dyDescent="0.35">
      <c r="A52" s="38">
        <f t="shared" si="6"/>
        <v>50</v>
      </c>
      <c r="B52" s="36">
        <f t="shared" ca="1" si="7"/>
        <v>81.029887721879874</v>
      </c>
      <c r="C52" s="36">
        <f t="shared" ca="1" si="8"/>
        <v>81.40832316379489</v>
      </c>
      <c r="D52" s="36">
        <f t="shared" ca="1" si="9"/>
        <v>84.693412537231012</v>
      </c>
      <c r="E52" s="36">
        <f t="shared" ca="1" si="10"/>
        <v>72.846734921337884</v>
      </c>
      <c r="F52" s="37">
        <f t="shared" ca="1" si="11"/>
        <v>74.674907310300242</v>
      </c>
      <c r="G52">
        <f t="shared" si="5"/>
        <v>80</v>
      </c>
    </row>
    <row r="53" spans="1:7" ht="16" x14ac:dyDescent="0.35">
      <c r="A53" s="38">
        <f t="shared" si="6"/>
        <v>51</v>
      </c>
      <c r="B53" s="36">
        <f t="shared" ca="1" si="7"/>
        <v>80.993328733356151</v>
      </c>
      <c r="C53" s="36">
        <f t="shared" ca="1" si="8"/>
        <v>81.666062979008871</v>
      </c>
      <c r="D53" s="36">
        <f t="shared" ca="1" si="9"/>
        <v>84.739257753424937</v>
      </c>
      <c r="E53" s="36">
        <f t="shared" ca="1" si="10"/>
        <v>73.06959586959168</v>
      </c>
      <c r="F53" s="37">
        <f t="shared" ca="1" si="11"/>
        <v>73.692140780734547</v>
      </c>
      <c r="G53">
        <f t="shared" si="5"/>
        <v>80</v>
      </c>
    </row>
    <row r="54" spans="1:7" ht="16" x14ac:dyDescent="0.35">
      <c r="A54" s="38">
        <f t="shared" si="6"/>
        <v>52</v>
      </c>
      <c r="B54" s="36">
        <f t="shared" ca="1" si="7"/>
        <v>80.927774350013905</v>
      </c>
      <c r="C54" s="36">
        <f t="shared" ca="1" si="8"/>
        <v>82.353194874937898</v>
      </c>
      <c r="D54" s="36">
        <f t="shared" ca="1" si="9"/>
        <v>84.148281305972887</v>
      </c>
      <c r="E54" s="36">
        <f t="shared" ca="1" si="10"/>
        <v>73.603701173195475</v>
      </c>
      <c r="F54" s="37">
        <f t="shared" ca="1" si="11"/>
        <v>73.236483325796002</v>
      </c>
      <c r="G54">
        <f t="shared" si="5"/>
        <v>80</v>
      </c>
    </row>
    <row r="55" spans="1:7" ht="16" x14ac:dyDescent="0.35">
      <c r="A55" s="38">
        <f t="shared" si="6"/>
        <v>53</v>
      </c>
      <c r="B55" s="36">
        <f t="shared" ca="1" si="7"/>
        <v>80.089435783184882</v>
      </c>
      <c r="C55" s="36">
        <f t="shared" ca="1" si="8"/>
        <v>81.662082587740713</v>
      </c>
      <c r="D55" s="36">
        <f t="shared" ca="1" si="9"/>
        <v>84.392937274021762</v>
      </c>
      <c r="E55" s="36">
        <f t="shared" ca="1" si="10"/>
        <v>73.266786816314806</v>
      </c>
      <c r="F55" s="37">
        <f t="shared" ca="1" si="11"/>
        <v>73.606568690897944</v>
      </c>
      <c r="G55">
        <f t="shared" si="5"/>
        <v>80</v>
      </c>
    </row>
    <row r="56" spans="1:7" ht="16" x14ac:dyDescent="0.35">
      <c r="A56" s="38">
        <f t="shared" si="6"/>
        <v>54</v>
      </c>
      <c r="B56" s="36">
        <f t="shared" ca="1" si="7"/>
        <v>82.108962906127999</v>
      </c>
      <c r="C56" s="36">
        <f t="shared" ca="1" si="8"/>
        <v>81.445548403306944</v>
      </c>
      <c r="D56" s="36">
        <f t="shared" ca="1" si="9"/>
        <v>83.619114601944474</v>
      </c>
      <c r="E56" s="36">
        <f t="shared" ca="1" si="10"/>
        <v>73.236840866404535</v>
      </c>
      <c r="F56" s="37">
        <f t="shared" ca="1" si="11"/>
        <v>71.552302069652725</v>
      </c>
      <c r="G56">
        <f t="shared" si="5"/>
        <v>80</v>
      </c>
    </row>
    <row r="57" spans="1:7" ht="16" x14ac:dyDescent="0.35">
      <c r="A57" s="38">
        <f t="shared" si="6"/>
        <v>55</v>
      </c>
      <c r="B57" s="36">
        <f t="shared" ca="1" si="7"/>
        <v>82.793074156336658</v>
      </c>
      <c r="C57" s="36">
        <f t="shared" ca="1" si="8"/>
        <v>81.863138387073036</v>
      </c>
      <c r="D57" s="36">
        <f t="shared" ca="1" si="9"/>
        <v>83.07292839903856</v>
      </c>
      <c r="E57" s="36">
        <f t="shared" ca="1" si="10"/>
        <v>72.337278613428779</v>
      </c>
      <c r="F57" s="37">
        <f t="shared" ca="1" si="11"/>
        <v>70.882583390359457</v>
      </c>
      <c r="G57">
        <f t="shared" si="5"/>
        <v>80</v>
      </c>
    </row>
    <row r="58" spans="1:7" ht="16" x14ac:dyDescent="0.35">
      <c r="A58" s="38">
        <f t="shared" si="6"/>
        <v>56</v>
      </c>
      <c r="B58" s="36">
        <f t="shared" ca="1" si="7"/>
        <v>81.449785324823011</v>
      </c>
      <c r="C58" s="36">
        <f t="shared" ca="1" si="8"/>
        <v>81.420887951855661</v>
      </c>
      <c r="D58" s="36">
        <f t="shared" ca="1" si="9"/>
        <v>83.670655001596089</v>
      </c>
      <c r="E58" s="36">
        <f t="shared" ca="1" si="10"/>
        <v>72.594816838438078</v>
      </c>
      <c r="F58" s="37">
        <f t="shared" ca="1" si="11"/>
        <v>71.851206403466719</v>
      </c>
      <c r="G58">
        <f t="shared" si="5"/>
        <v>80</v>
      </c>
    </row>
    <row r="59" spans="1:7" ht="16" x14ac:dyDescent="0.35">
      <c r="A59" s="38">
        <f t="shared" si="6"/>
        <v>57</v>
      </c>
      <c r="B59" s="36">
        <f t="shared" ca="1" si="7"/>
        <v>80.700200696769897</v>
      </c>
      <c r="C59" s="36">
        <f t="shared" ca="1" si="8"/>
        <v>81.013729815389965</v>
      </c>
      <c r="D59" s="36">
        <f t="shared" ca="1" si="9"/>
        <v>83.861298764179082</v>
      </c>
      <c r="E59" s="36">
        <f t="shared" ca="1" si="10"/>
        <v>73.096030006579639</v>
      </c>
      <c r="F59" s="37">
        <f t="shared" ca="1" si="11"/>
        <v>72.080235498457597</v>
      </c>
      <c r="G59">
        <f t="shared" si="5"/>
        <v>80</v>
      </c>
    </row>
    <row r="60" spans="1:7" ht="16" x14ac:dyDescent="0.35">
      <c r="A60" s="38">
        <f t="shared" si="6"/>
        <v>58</v>
      </c>
      <c r="B60" s="36">
        <f t="shared" ca="1" si="7"/>
        <v>81.167254805286547</v>
      </c>
      <c r="C60" s="36">
        <f t="shared" ca="1" si="8"/>
        <v>81.676682433533642</v>
      </c>
      <c r="D60" s="36">
        <f t="shared" ca="1" si="9"/>
        <v>84.751270353904488</v>
      </c>
      <c r="E60" s="36">
        <f t="shared" ca="1" si="10"/>
        <v>72.664825043136915</v>
      </c>
      <c r="F60" s="37">
        <f t="shared" ca="1" si="11"/>
        <v>72.470018240317046</v>
      </c>
      <c r="G60">
        <f t="shared" si="5"/>
        <v>80</v>
      </c>
    </row>
    <row r="61" spans="1:7" ht="16" x14ac:dyDescent="0.35">
      <c r="A61" s="38">
        <f t="shared" si="6"/>
        <v>59</v>
      </c>
      <c r="B61" s="36">
        <f t="shared" ca="1" si="7"/>
        <v>80.600856117160873</v>
      </c>
      <c r="C61" s="36">
        <f t="shared" ca="1" si="8"/>
        <v>81.57220039615369</v>
      </c>
      <c r="D61" s="36">
        <f t="shared" ca="1" si="9"/>
        <v>84.322476209260785</v>
      </c>
      <c r="E61" s="36">
        <f t="shared" ca="1" si="10"/>
        <v>72.057930592001654</v>
      </c>
      <c r="F61" s="37">
        <f t="shared" ca="1" si="11"/>
        <v>73.048815992656344</v>
      </c>
      <c r="G61">
        <f t="shared" si="5"/>
        <v>80</v>
      </c>
    </row>
    <row r="62" spans="1:7" ht="16" x14ac:dyDescent="0.35">
      <c r="A62" s="38">
        <f t="shared" si="6"/>
        <v>60</v>
      </c>
      <c r="B62" s="36">
        <f t="shared" ca="1" si="7"/>
        <v>80.55988945212701</v>
      </c>
      <c r="C62" s="36">
        <f t="shared" ca="1" si="8"/>
        <v>81.619738031967515</v>
      </c>
      <c r="D62" s="36">
        <f t="shared" ca="1" si="9"/>
        <v>84.070665722856717</v>
      </c>
      <c r="E62" s="36">
        <f t="shared" ca="1" si="10"/>
        <v>70.731621687691529</v>
      </c>
      <c r="F62" s="37">
        <f t="shared" ca="1" si="11"/>
        <v>73.682630690612399</v>
      </c>
      <c r="G62">
        <f t="shared" si="5"/>
        <v>80</v>
      </c>
    </row>
    <row r="63" spans="1:7" ht="16" x14ac:dyDescent="0.35">
      <c r="A63" s="38">
        <f t="shared" si="6"/>
        <v>61</v>
      </c>
      <c r="B63" s="36">
        <f t="shared" ca="1" si="7"/>
        <v>81.05365151000764</v>
      </c>
      <c r="C63" s="36">
        <f t="shared" ca="1" si="8"/>
        <v>82.196254655586543</v>
      </c>
      <c r="D63" s="36">
        <f t="shared" ca="1" si="9"/>
        <v>83.462061935546203</v>
      </c>
      <c r="E63" s="36">
        <f t="shared" ca="1" si="10"/>
        <v>70.9523045275984</v>
      </c>
      <c r="F63" s="37">
        <f t="shared" ca="1" si="11"/>
        <v>73.719345578827344</v>
      </c>
      <c r="G63">
        <f t="shared" si="5"/>
        <v>80</v>
      </c>
    </row>
    <row r="64" spans="1:7" ht="16" x14ac:dyDescent="0.35">
      <c r="A64" s="38">
        <f t="shared" si="6"/>
        <v>62</v>
      </c>
      <c r="B64" s="36">
        <f t="shared" ca="1" si="7"/>
        <v>80.125112640621353</v>
      </c>
      <c r="C64" s="36">
        <f t="shared" ca="1" si="8"/>
        <v>82.065361645254185</v>
      </c>
      <c r="D64" s="36">
        <f t="shared" ca="1" si="9"/>
        <v>83.265228628611339</v>
      </c>
      <c r="E64" s="36">
        <f t="shared" ca="1" si="10"/>
        <v>70.25186743048279</v>
      </c>
      <c r="F64" s="37">
        <f t="shared" ca="1" si="11"/>
        <v>73.409152322141836</v>
      </c>
      <c r="G64">
        <f t="shared" si="5"/>
        <v>80</v>
      </c>
    </row>
    <row r="65" spans="1:7" ht="16" x14ac:dyDescent="0.35">
      <c r="A65" s="38">
        <f t="shared" si="6"/>
        <v>63</v>
      </c>
      <c r="B65" s="36">
        <f t="shared" ca="1" si="7"/>
        <v>80.18989832508683</v>
      </c>
      <c r="C65" s="36">
        <f t="shared" ca="1" si="8"/>
        <v>83.279292113593115</v>
      </c>
      <c r="D65" s="36">
        <f t="shared" ca="1" si="9"/>
        <v>83.145013993747398</v>
      </c>
      <c r="E65" s="36">
        <f t="shared" ca="1" si="10"/>
        <v>70.438139276935019</v>
      </c>
      <c r="F65" s="37">
        <f t="shared" ca="1" si="11"/>
        <v>72.874774439581515</v>
      </c>
      <c r="G65">
        <f t="shared" si="5"/>
        <v>80</v>
      </c>
    </row>
    <row r="66" spans="1:7" ht="16" x14ac:dyDescent="0.35">
      <c r="A66" s="38">
        <f t="shared" si="6"/>
        <v>64</v>
      </c>
      <c r="B66" s="36">
        <f t="shared" ca="1" si="7"/>
        <v>79.445853070996449</v>
      </c>
      <c r="C66" s="36">
        <f t="shared" ca="1" si="8"/>
        <v>84.550202928258315</v>
      </c>
      <c r="D66" s="36">
        <f t="shared" ca="1" si="9"/>
        <v>83.273760159614</v>
      </c>
      <c r="E66" s="36">
        <f t="shared" ca="1" si="10"/>
        <v>69.987659462338357</v>
      </c>
      <c r="F66" s="37">
        <f t="shared" ca="1" si="11"/>
        <v>72.709437081615434</v>
      </c>
      <c r="G66">
        <f t="shared" si="5"/>
        <v>80</v>
      </c>
    </row>
    <row r="67" spans="1:7" ht="16" x14ac:dyDescent="0.35">
      <c r="A67" s="38">
        <f t="shared" si="6"/>
        <v>65</v>
      </c>
      <c r="B67" s="36">
        <f t="shared" ref="B67:B98" ca="1" si="12">B66*EXP(($K$27-0.5*$K$28^2)*$K$26+$K$28*_xlfn.NORM.S.INV(RAND())*SQRT($K$26))</f>
        <v>77.972995811471492</v>
      </c>
      <c r="C67" s="36">
        <f t="shared" ref="C67:C98" ca="1" si="13">C66*EXP(($K$27-0.5*$K$28^2)*$K$26+$K$28*_xlfn.NORM.S.INV(RAND())*SQRT($K$26))</f>
        <v>84.665381262744646</v>
      </c>
      <c r="D67" s="36">
        <f t="shared" ref="D67:D98" ca="1" si="14">D66*EXP(($K$27-0.5*$K$28^2)*$K$26+$K$28*_xlfn.NORM.S.INV(RAND())*SQRT($K$26))</f>
        <v>83.657747793302789</v>
      </c>
      <c r="E67" s="36">
        <f t="shared" ref="E67:E98" ca="1" si="15">E66*EXP(($K$27-0.5*$K$28^2)*$K$26+$K$28*_xlfn.NORM.S.INV(RAND())*SQRT($K$26))</f>
        <v>70.373969703999251</v>
      </c>
      <c r="F67" s="37">
        <f t="shared" ref="F67:F98" ca="1" si="16">F66*EXP(($K$27-0.5*$K$28^2)*$K$26+$K$28*_xlfn.NORM.S.INV(RAND())*SQRT($K$26))</f>
        <v>72.757503694854648</v>
      </c>
      <c r="G67">
        <f t="shared" ref="G67:G130" si="17">$K$22</f>
        <v>80</v>
      </c>
    </row>
    <row r="68" spans="1:7" ht="16" x14ac:dyDescent="0.35">
      <c r="A68" s="38">
        <f t="shared" si="6"/>
        <v>66</v>
      </c>
      <c r="B68" s="36">
        <f t="shared" ca="1" si="12"/>
        <v>77.907781353602715</v>
      </c>
      <c r="C68" s="36">
        <f t="shared" ca="1" si="13"/>
        <v>85.084833692013675</v>
      </c>
      <c r="D68" s="36">
        <f t="shared" ca="1" si="14"/>
        <v>83.791050863114748</v>
      </c>
      <c r="E68" s="36">
        <f t="shared" ca="1" si="15"/>
        <v>69.637883579042892</v>
      </c>
      <c r="F68" s="37">
        <f t="shared" ca="1" si="16"/>
        <v>72.593917418196796</v>
      </c>
      <c r="G68">
        <f t="shared" si="17"/>
        <v>80</v>
      </c>
    </row>
    <row r="69" spans="1:7" ht="16" x14ac:dyDescent="0.35">
      <c r="A69" s="38">
        <f t="shared" si="6"/>
        <v>67</v>
      </c>
      <c r="B69" s="36">
        <f t="shared" ca="1" si="12"/>
        <v>79.125198909877597</v>
      </c>
      <c r="C69" s="36">
        <f t="shared" ca="1" si="13"/>
        <v>84.714745400239934</v>
      </c>
      <c r="D69" s="36">
        <f t="shared" ca="1" si="14"/>
        <v>82.769078733577473</v>
      </c>
      <c r="E69" s="36">
        <f t="shared" ca="1" si="15"/>
        <v>68.336738100262053</v>
      </c>
      <c r="F69" s="37">
        <f t="shared" ca="1" si="16"/>
        <v>72.159175579988073</v>
      </c>
      <c r="G69">
        <f t="shared" si="17"/>
        <v>80</v>
      </c>
    </row>
    <row r="70" spans="1:7" ht="16" x14ac:dyDescent="0.35">
      <c r="A70" s="38">
        <f t="shared" ref="A70:A133" si="18">A69+1</f>
        <v>68</v>
      </c>
      <c r="B70" s="36">
        <f t="shared" ca="1" si="12"/>
        <v>79.901805948772946</v>
      </c>
      <c r="C70" s="36">
        <f t="shared" ca="1" si="13"/>
        <v>84.528848725937294</v>
      </c>
      <c r="D70" s="36">
        <f t="shared" ca="1" si="14"/>
        <v>82.631831229797839</v>
      </c>
      <c r="E70" s="36">
        <f t="shared" ca="1" si="15"/>
        <v>67.83166990417142</v>
      </c>
      <c r="F70" s="37">
        <f t="shared" ca="1" si="16"/>
        <v>72.478763533544225</v>
      </c>
      <c r="G70">
        <f t="shared" si="17"/>
        <v>80</v>
      </c>
    </row>
    <row r="71" spans="1:7" ht="16" x14ac:dyDescent="0.35">
      <c r="A71" s="38">
        <f t="shared" si="18"/>
        <v>69</v>
      </c>
      <c r="B71" s="36">
        <f t="shared" ca="1" si="12"/>
        <v>80.207140347558791</v>
      </c>
      <c r="C71" s="36">
        <f t="shared" ca="1" si="13"/>
        <v>84.662558183408279</v>
      </c>
      <c r="D71" s="36">
        <f t="shared" ca="1" si="14"/>
        <v>83.411217155770103</v>
      </c>
      <c r="E71" s="36">
        <f t="shared" ca="1" si="15"/>
        <v>68.682709541133548</v>
      </c>
      <c r="F71" s="37">
        <f t="shared" ca="1" si="16"/>
        <v>71.991415534390427</v>
      </c>
      <c r="G71">
        <f t="shared" si="17"/>
        <v>80</v>
      </c>
    </row>
    <row r="72" spans="1:7" ht="16" x14ac:dyDescent="0.35">
      <c r="A72" s="38">
        <f t="shared" si="18"/>
        <v>70</v>
      </c>
      <c r="B72" s="36">
        <f t="shared" ca="1" si="12"/>
        <v>80.370418863874718</v>
      </c>
      <c r="C72" s="36">
        <f t="shared" ca="1" si="13"/>
        <v>85.149401795593718</v>
      </c>
      <c r="D72" s="36">
        <f t="shared" ca="1" si="14"/>
        <v>83.292325167568251</v>
      </c>
      <c r="E72" s="36">
        <f t="shared" ca="1" si="15"/>
        <v>68.826312458248395</v>
      </c>
      <c r="F72" s="37">
        <f t="shared" ca="1" si="16"/>
        <v>71.258035898956038</v>
      </c>
      <c r="G72">
        <f t="shared" si="17"/>
        <v>80</v>
      </c>
    </row>
    <row r="73" spans="1:7" ht="16" x14ac:dyDescent="0.35">
      <c r="A73" s="38">
        <f t="shared" si="18"/>
        <v>71</v>
      </c>
      <c r="B73" s="36">
        <f t="shared" ca="1" si="12"/>
        <v>79.986713159911645</v>
      </c>
      <c r="C73" s="36">
        <f t="shared" ca="1" si="13"/>
        <v>85.93621768399494</v>
      </c>
      <c r="D73" s="36">
        <f t="shared" ca="1" si="14"/>
        <v>84.561968261106784</v>
      </c>
      <c r="E73" s="36">
        <f t="shared" ca="1" si="15"/>
        <v>68.123431794696927</v>
      </c>
      <c r="F73" s="37">
        <f t="shared" ca="1" si="16"/>
        <v>72.418703738859534</v>
      </c>
      <c r="G73">
        <f t="shared" si="17"/>
        <v>80</v>
      </c>
    </row>
    <row r="74" spans="1:7" ht="16" x14ac:dyDescent="0.35">
      <c r="A74" s="38">
        <f t="shared" si="18"/>
        <v>72</v>
      </c>
      <c r="B74" s="36">
        <f t="shared" ca="1" si="12"/>
        <v>80.253076390244772</v>
      </c>
      <c r="C74" s="36">
        <f t="shared" ca="1" si="13"/>
        <v>86.558709750633795</v>
      </c>
      <c r="D74" s="36">
        <f t="shared" ca="1" si="14"/>
        <v>86.145448778684084</v>
      </c>
      <c r="E74" s="36">
        <f t="shared" ca="1" si="15"/>
        <v>68.57679005324897</v>
      </c>
      <c r="F74" s="37">
        <f t="shared" ca="1" si="16"/>
        <v>71.850499902343515</v>
      </c>
      <c r="G74">
        <f t="shared" si="17"/>
        <v>80</v>
      </c>
    </row>
    <row r="75" spans="1:7" ht="16" x14ac:dyDescent="0.35">
      <c r="A75" s="38">
        <f t="shared" si="18"/>
        <v>73</v>
      </c>
      <c r="B75" s="36">
        <f t="shared" ca="1" si="12"/>
        <v>80.52634469122566</v>
      </c>
      <c r="C75" s="36">
        <f t="shared" ca="1" si="13"/>
        <v>86.496990659529175</v>
      </c>
      <c r="D75" s="36">
        <f t="shared" ca="1" si="14"/>
        <v>86.006492726133104</v>
      </c>
      <c r="E75" s="36">
        <f t="shared" ca="1" si="15"/>
        <v>67.927021611485458</v>
      </c>
      <c r="F75" s="37">
        <f t="shared" ca="1" si="16"/>
        <v>71.667311925704112</v>
      </c>
      <c r="G75">
        <f t="shared" si="17"/>
        <v>80</v>
      </c>
    </row>
    <row r="76" spans="1:7" ht="16" x14ac:dyDescent="0.35">
      <c r="A76" s="38">
        <f t="shared" si="18"/>
        <v>74</v>
      </c>
      <c r="B76" s="36">
        <f t="shared" ca="1" si="12"/>
        <v>80.25218712780908</v>
      </c>
      <c r="C76" s="36">
        <f t="shared" ca="1" si="13"/>
        <v>85.922797823142204</v>
      </c>
      <c r="D76" s="36">
        <f t="shared" ca="1" si="14"/>
        <v>85.700419312593453</v>
      </c>
      <c r="E76" s="36">
        <f t="shared" ca="1" si="15"/>
        <v>67.834043556863264</v>
      </c>
      <c r="F76" s="37">
        <f t="shared" ca="1" si="16"/>
        <v>72.138408149536602</v>
      </c>
      <c r="G76">
        <f t="shared" si="17"/>
        <v>80</v>
      </c>
    </row>
    <row r="77" spans="1:7" ht="16" x14ac:dyDescent="0.35">
      <c r="A77" s="38">
        <f t="shared" si="18"/>
        <v>75</v>
      </c>
      <c r="B77" s="36">
        <f t="shared" ca="1" si="12"/>
        <v>80.578991145494527</v>
      </c>
      <c r="C77" s="36">
        <f t="shared" ca="1" si="13"/>
        <v>86.190330549793401</v>
      </c>
      <c r="D77" s="36">
        <f t="shared" ca="1" si="14"/>
        <v>86.8514391920571</v>
      </c>
      <c r="E77" s="36">
        <f t="shared" ca="1" si="15"/>
        <v>67.248301821519291</v>
      </c>
      <c r="F77" s="37">
        <f t="shared" ca="1" si="16"/>
        <v>70.649175123256811</v>
      </c>
      <c r="G77">
        <f t="shared" si="17"/>
        <v>80</v>
      </c>
    </row>
    <row r="78" spans="1:7" ht="16" x14ac:dyDescent="0.35">
      <c r="A78" s="38">
        <f t="shared" si="18"/>
        <v>76</v>
      </c>
      <c r="B78" s="36">
        <f t="shared" ca="1" si="12"/>
        <v>79.960173493616097</v>
      </c>
      <c r="C78" s="36">
        <f t="shared" ca="1" si="13"/>
        <v>85.396561824050096</v>
      </c>
      <c r="D78" s="36">
        <f t="shared" ca="1" si="14"/>
        <v>86.882951013197712</v>
      </c>
      <c r="E78" s="36">
        <f t="shared" ca="1" si="15"/>
        <v>66.326268478780321</v>
      </c>
      <c r="F78" s="37">
        <f t="shared" ca="1" si="16"/>
        <v>70.047099076754762</v>
      </c>
      <c r="G78">
        <f t="shared" si="17"/>
        <v>80</v>
      </c>
    </row>
    <row r="79" spans="1:7" ht="16" x14ac:dyDescent="0.35">
      <c r="A79" s="38">
        <f t="shared" si="18"/>
        <v>77</v>
      </c>
      <c r="B79" s="36">
        <f t="shared" ca="1" si="12"/>
        <v>80.107574154907837</v>
      </c>
      <c r="C79" s="36">
        <f t="shared" ca="1" si="13"/>
        <v>84.689060515252308</v>
      </c>
      <c r="D79" s="36">
        <f t="shared" ca="1" si="14"/>
        <v>87.022710196006841</v>
      </c>
      <c r="E79" s="36">
        <f t="shared" ca="1" si="15"/>
        <v>66.034761636399082</v>
      </c>
      <c r="F79" s="37">
        <f t="shared" ca="1" si="16"/>
        <v>70.003148212959744</v>
      </c>
      <c r="G79">
        <f t="shared" si="17"/>
        <v>80</v>
      </c>
    </row>
    <row r="80" spans="1:7" ht="16" x14ac:dyDescent="0.35">
      <c r="A80" s="38">
        <f t="shared" si="18"/>
        <v>78</v>
      </c>
      <c r="B80" s="36">
        <f t="shared" ca="1" si="12"/>
        <v>80.682713760146953</v>
      </c>
      <c r="C80" s="36">
        <f t="shared" ca="1" si="13"/>
        <v>86.90489144874374</v>
      </c>
      <c r="D80" s="36">
        <f t="shared" ca="1" si="14"/>
        <v>88.736077727633941</v>
      </c>
      <c r="E80" s="36">
        <f t="shared" ca="1" si="15"/>
        <v>65.920361784744813</v>
      </c>
      <c r="F80" s="37">
        <f t="shared" ca="1" si="16"/>
        <v>70.091346056308481</v>
      </c>
      <c r="G80">
        <f t="shared" si="17"/>
        <v>80</v>
      </c>
    </row>
    <row r="81" spans="1:7" ht="16" x14ac:dyDescent="0.35">
      <c r="A81" s="38">
        <f t="shared" si="18"/>
        <v>79</v>
      </c>
      <c r="B81" s="36">
        <f t="shared" ca="1" si="12"/>
        <v>79.18729922608118</v>
      </c>
      <c r="C81" s="36">
        <f t="shared" ca="1" si="13"/>
        <v>85.972558278657601</v>
      </c>
      <c r="D81" s="36">
        <f t="shared" ca="1" si="14"/>
        <v>86.800995264659377</v>
      </c>
      <c r="E81" s="36">
        <f t="shared" ca="1" si="15"/>
        <v>66.078804586850481</v>
      </c>
      <c r="F81" s="37">
        <f t="shared" ca="1" si="16"/>
        <v>70.053004746753089</v>
      </c>
      <c r="G81">
        <f t="shared" si="17"/>
        <v>80</v>
      </c>
    </row>
    <row r="82" spans="1:7" ht="16" x14ac:dyDescent="0.35">
      <c r="A82" s="38">
        <f t="shared" si="18"/>
        <v>80</v>
      </c>
      <c r="B82" s="36">
        <f t="shared" ca="1" si="12"/>
        <v>78.622244882077581</v>
      </c>
      <c r="C82" s="36">
        <f t="shared" ca="1" si="13"/>
        <v>86.197852574628797</v>
      </c>
      <c r="D82" s="36">
        <f t="shared" ca="1" si="14"/>
        <v>86.869415170683766</v>
      </c>
      <c r="E82" s="36">
        <f t="shared" ca="1" si="15"/>
        <v>67.210244223661888</v>
      </c>
      <c r="F82" s="37">
        <f t="shared" ca="1" si="16"/>
        <v>68.598119972340612</v>
      </c>
      <c r="G82">
        <f t="shared" si="17"/>
        <v>80</v>
      </c>
    </row>
    <row r="83" spans="1:7" ht="16" x14ac:dyDescent="0.35">
      <c r="A83" s="38">
        <f t="shared" si="18"/>
        <v>81</v>
      </c>
      <c r="B83" s="36">
        <f t="shared" ca="1" si="12"/>
        <v>79.464468188901776</v>
      </c>
      <c r="C83" s="36">
        <f t="shared" ca="1" si="13"/>
        <v>86.004896885330311</v>
      </c>
      <c r="D83" s="36">
        <f t="shared" ca="1" si="14"/>
        <v>86.496285616970255</v>
      </c>
      <c r="E83" s="36">
        <f t="shared" ca="1" si="15"/>
        <v>67.802196944999835</v>
      </c>
      <c r="F83" s="37">
        <f t="shared" ca="1" si="16"/>
        <v>68.88920834235401</v>
      </c>
      <c r="G83">
        <f t="shared" si="17"/>
        <v>80</v>
      </c>
    </row>
    <row r="84" spans="1:7" ht="16" x14ac:dyDescent="0.35">
      <c r="A84" s="38">
        <f t="shared" si="18"/>
        <v>82</v>
      </c>
      <c r="B84" s="36">
        <f t="shared" ca="1" si="12"/>
        <v>78.079775082314612</v>
      </c>
      <c r="C84" s="36">
        <f t="shared" ca="1" si="13"/>
        <v>86.81576848206015</v>
      </c>
      <c r="D84" s="36">
        <f t="shared" ca="1" si="14"/>
        <v>86.794987651188521</v>
      </c>
      <c r="E84" s="36">
        <f t="shared" ca="1" si="15"/>
        <v>67.955442511736351</v>
      </c>
      <c r="F84" s="37">
        <f t="shared" ca="1" si="16"/>
        <v>70.250072548651019</v>
      </c>
      <c r="G84">
        <f t="shared" si="17"/>
        <v>80</v>
      </c>
    </row>
    <row r="85" spans="1:7" ht="16" x14ac:dyDescent="0.35">
      <c r="A85" s="38">
        <f t="shared" si="18"/>
        <v>83</v>
      </c>
      <c r="B85" s="36">
        <f t="shared" ca="1" si="12"/>
        <v>77.948393683607023</v>
      </c>
      <c r="C85" s="36">
        <f t="shared" ca="1" si="13"/>
        <v>87.389234901916467</v>
      </c>
      <c r="D85" s="36">
        <f t="shared" ca="1" si="14"/>
        <v>86.30540640594522</v>
      </c>
      <c r="E85" s="36">
        <f t="shared" ca="1" si="15"/>
        <v>66.746387125418607</v>
      </c>
      <c r="F85" s="37">
        <f t="shared" ca="1" si="16"/>
        <v>70.767140939606222</v>
      </c>
      <c r="G85">
        <f t="shared" si="17"/>
        <v>80</v>
      </c>
    </row>
    <row r="86" spans="1:7" ht="16" x14ac:dyDescent="0.35">
      <c r="A86" s="38">
        <f t="shared" si="18"/>
        <v>84</v>
      </c>
      <c r="B86" s="36">
        <f t="shared" ca="1" si="12"/>
        <v>77.318637816320205</v>
      </c>
      <c r="C86" s="36">
        <f t="shared" ca="1" si="13"/>
        <v>86.202453372121198</v>
      </c>
      <c r="D86" s="36">
        <f t="shared" ca="1" si="14"/>
        <v>85.217298168254047</v>
      </c>
      <c r="E86" s="36">
        <f t="shared" ca="1" si="15"/>
        <v>66.864112639901109</v>
      </c>
      <c r="F86" s="37">
        <f t="shared" ca="1" si="16"/>
        <v>71.73664418571272</v>
      </c>
      <c r="G86">
        <f t="shared" si="17"/>
        <v>80</v>
      </c>
    </row>
    <row r="87" spans="1:7" ht="16" x14ac:dyDescent="0.35">
      <c r="A87" s="38">
        <f t="shared" si="18"/>
        <v>85</v>
      </c>
      <c r="B87" s="36">
        <f t="shared" ca="1" si="12"/>
        <v>77.016194903131577</v>
      </c>
      <c r="C87" s="36">
        <f t="shared" ca="1" si="13"/>
        <v>86.911464386909486</v>
      </c>
      <c r="D87" s="36">
        <f t="shared" ca="1" si="14"/>
        <v>84.576628773323932</v>
      </c>
      <c r="E87" s="36">
        <f t="shared" ca="1" si="15"/>
        <v>68.247134369093388</v>
      </c>
      <c r="F87" s="37">
        <f t="shared" ca="1" si="16"/>
        <v>72.040449620128868</v>
      </c>
      <c r="G87">
        <f t="shared" si="17"/>
        <v>80</v>
      </c>
    </row>
    <row r="88" spans="1:7" ht="16" x14ac:dyDescent="0.35">
      <c r="A88" s="38">
        <f t="shared" si="18"/>
        <v>86</v>
      </c>
      <c r="B88" s="36">
        <f t="shared" ca="1" si="12"/>
        <v>77.951455837156232</v>
      </c>
      <c r="C88" s="36">
        <f t="shared" ca="1" si="13"/>
        <v>87.52790484128505</v>
      </c>
      <c r="D88" s="36">
        <f t="shared" ca="1" si="14"/>
        <v>85.000595473202353</v>
      </c>
      <c r="E88" s="36">
        <f t="shared" ca="1" si="15"/>
        <v>67.658033071030545</v>
      </c>
      <c r="F88" s="37">
        <f t="shared" ca="1" si="16"/>
        <v>72.136349232252627</v>
      </c>
      <c r="G88">
        <f t="shared" si="17"/>
        <v>80</v>
      </c>
    </row>
    <row r="89" spans="1:7" ht="16" x14ac:dyDescent="0.35">
      <c r="A89" s="38">
        <f t="shared" si="18"/>
        <v>87</v>
      </c>
      <c r="B89" s="36">
        <f t="shared" ca="1" si="12"/>
        <v>77.391953384725127</v>
      </c>
      <c r="C89" s="36">
        <f t="shared" ca="1" si="13"/>
        <v>87.254434048180443</v>
      </c>
      <c r="D89" s="36">
        <f t="shared" ca="1" si="14"/>
        <v>85.129978384060465</v>
      </c>
      <c r="E89" s="36">
        <f t="shared" ca="1" si="15"/>
        <v>67.363015766168388</v>
      </c>
      <c r="F89" s="37">
        <f t="shared" ca="1" si="16"/>
        <v>72.251359950281625</v>
      </c>
      <c r="G89">
        <f t="shared" si="17"/>
        <v>80</v>
      </c>
    </row>
    <row r="90" spans="1:7" ht="16" x14ac:dyDescent="0.35">
      <c r="A90" s="38">
        <f t="shared" si="18"/>
        <v>88</v>
      </c>
      <c r="B90" s="36">
        <f t="shared" ca="1" si="12"/>
        <v>77.41739084035629</v>
      </c>
      <c r="C90" s="36">
        <f t="shared" ca="1" si="13"/>
        <v>87.516830272655483</v>
      </c>
      <c r="D90" s="36">
        <f t="shared" ca="1" si="14"/>
        <v>85.275111209313579</v>
      </c>
      <c r="E90" s="36">
        <f t="shared" ca="1" si="15"/>
        <v>66.813900958270722</v>
      </c>
      <c r="F90" s="37">
        <f t="shared" ca="1" si="16"/>
        <v>71.995599907495617</v>
      </c>
      <c r="G90">
        <f t="shared" si="17"/>
        <v>80</v>
      </c>
    </row>
    <row r="91" spans="1:7" ht="16" x14ac:dyDescent="0.35">
      <c r="A91" s="38">
        <f t="shared" si="18"/>
        <v>89</v>
      </c>
      <c r="B91" s="36">
        <f t="shared" ca="1" si="12"/>
        <v>77.632202549449403</v>
      </c>
      <c r="C91" s="36">
        <f t="shared" ca="1" si="13"/>
        <v>88.142278916207317</v>
      </c>
      <c r="D91" s="36">
        <f t="shared" ca="1" si="14"/>
        <v>85.064935439220534</v>
      </c>
      <c r="E91" s="36">
        <f t="shared" ca="1" si="15"/>
        <v>66.732550678809162</v>
      </c>
      <c r="F91" s="37">
        <f t="shared" ca="1" si="16"/>
        <v>72.654570191821165</v>
      </c>
      <c r="G91">
        <f t="shared" si="17"/>
        <v>80</v>
      </c>
    </row>
    <row r="92" spans="1:7" ht="16" x14ac:dyDescent="0.35">
      <c r="A92" s="38">
        <f t="shared" si="18"/>
        <v>90</v>
      </c>
      <c r="B92" s="36">
        <f t="shared" ca="1" si="12"/>
        <v>78.287715763939573</v>
      </c>
      <c r="C92" s="36">
        <f t="shared" ca="1" si="13"/>
        <v>87.44030013150028</v>
      </c>
      <c r="D92" s="36">
        <f t="shared" ca="1" si="14"/>
        <v>85.894963051043703</v>
      </c>
      <c r="E92" s="36">
        <f t="shared" ca="1" si="15"/>
        <v>66.374693699196399</v>
      </c>
      <c r="F92" s="37">
        <f t="shared" ca="1" si="16"/>
        <v>73.4842607660824</v>
      </c>
      <c r="G92">
        <f t="shared" si="17"/>
        <v>80</v>
      </c>
    </row>
    <row r="93" spans="1:7" ht="16" x14ac:dyDescent="0.35">
      <c r="A93" s="38">
        <f t="shared" si="18"/>
        <v>91</v>
      </c>
      <c r="B93" s="36">
        <f t="shared" ca="1" si="12"/>
        <v>77.529055841889218</v>
      </c>
      <c r="C93" s="36">
        <f t="shared" ca="1" si="13"/>
        <v>88.011258362019191</v>
      </c>
      <c r="D93" s="36">
        <f t="shared" ca="1" si="14"/>
        <v>86.239076709989433</v>
      </c>
      <c r="E93" s="36">
        <f t="shared" ca="1" si="15"/>
        <v>66.456374714844884</v>
      </c>
      <c r="F93" s="37">
        <f t="shared" ca="1" si="16"/>
        <v>73.443595217185646</v>
      </c>
      <c r="G93">
        <f t="shared" si="17"/>
        <v>80</v>
      </c>
    </row>
    <row r="94" spans="1:7" ht="16" x14ac:dyDescent="0.35">
      <c r="A94" s="38">
        <f t="shared" si="18"/>
        <v>92</v>
      </c>
      <c r="B94" s="36">
        <f t="shared" ca="1" si="12"/>
        <v>76.88745727960827</v>
      </c>
      <c r="C94" s="36">
        <f t="shared" ca="1" si="13"/>
        <v>88.310216869718531</v>
      </c>
      <c r="D94" s="36">
        <f t="shared" ca="1" si="14"/>
        <v>85.884317486990696</v>
      </c>
      <c r="E94" s="36">
        <f t="shared" ca="1" si="15"/>
        <v>66.357592606880218</v>
      </c>
      <c r="F94" s="37">
        <f t="shared" ca="1" si="16"/>
        <v>73.102051421749792</v>
      </c>
      <c r="G94">
        <f t="shared" si="17"/>
        <v>80</v>
      </c>
    </row>
    <row r="95" spans="1:7" ht="16" x14ac:dyDescent="0.35">
      <c r="A95" s="38">
        <f t="shared" si="18"/>
        <v>93</v>
      </c>
      <c r="B95" s="36">
        <f t="shared" ca="1" si="12"/>
        <v>77.138406810716859</v>
      </c>
      <c r="C95" s="36">
        <f t="shared" ca="1" si="13"/>
        <v>87.2835698042784</v>
      </c>
      <c r="D95" s="36">
        <f t="shared" ca="1" si="14"/>
        <v>85.760095674439768</v>
      </c>
      <c r="E95" s="36">
        <f t="shared" ca="1" si="15"/>
        <v>67.330233953853579</v>
      </c>
      <c r="F95" s="37">
        <f t="shared" ca="1" si="16"/>
        <v>73.831497884819569</v>
      </c>
      <c r="G95">
        <f t="shared" si="17"/>
        <v>80</v>
      </c>
    </row>
    <row r="96" spans="1:7" ht="16" x14ac:dyDescent="0.35">
      <c r="A96" s="38">
        <f t="shared" si="18"/>
        <v>94</v>
      </c>
      <c r="B96" s="36">
        <f t="shared" ca="1" si="12"/>
        <v>77.65059332839067</v>
      </c>
      <c r="C96" s="36">
        <f t="shared" ca="1" si="13"/>
        <v>87.91039718549419</v>
      </c>
      <c r="D96" s="36">
        <f t="shared" ca="1" si="14"/>
        <v>86.158262339905377</v>
      </c>
      <c r="E96" s="36">
        <f t="shared" ca="1" si="15"/>
        <v>67.505474125782968</v>
      </c>
      <c r="F96" s="37">
        <f t="shared" ca="1" si="16"/>
        <v>73.264225771141938</v>
      </c>
      <c r="G96">
        <f t="shared" si="17"/>
        <v>80</v>
      </c>
    </row>
    <row r="97" spans="1:7" ht="16" x14ac:dyDescent="0.35">
      <c r="A97" s="38">
        <f t="shared" si="18"/>
        <v>95</v>
      </c>
      <c r="B97" s="36">
        <f t="shared" ca="1" si="12"/>
        <v>77.521119508580725</v>
      </c>
      <c r="C97" s="36">
        <f t="shared" ca="1" si="13"/>
        <v>87.872291104510495</v>
      </c>
      <c r="D97" s="36">
        <f t="shared" ca="1" si="14"/>
        <v>86.754974941461384</v>
      </c>
      <c r="E97" s="36">
        <f t="shared" ca="1" si="15"/>
        <v>67.73360046606166</v>
      </c>
      <c r="F97" s="37">
        <f t="shared" ca="1" si="16"/>
        <v>72.334245361802019</v>
      </c>
      <c r="G97">
        <f t="shared" si="17"/>
        <v>80</v>
      </c>
    </row>
    <row r="98" spans="1:7" ht="16" x14ac:dyDescent="0.35">
      <c r="A98" s="38">
        <f t="shared" si="18"/>
        <v>96</v>
      </c>
      <c r="B98" s="36">
        <f t="shared" ca="1" si="12"/>
        <v>76.731698777755483</v>
      </c>
      <c r="C98" s="36">
        <f t="shared" ca="1" si="13"/>
        <v>87.848396148700928</v>
      </c>
      <c r="D98" s="36">
        <f t="shared" ca="1" si="14"/>
        <v>88.517532413794811</v>
      </c>
      <c r="E98" s="36">
        <f t="shared" ca="1" si="15"/>
        <v>68.916853245347795</v>
      </c>
      <c r="F98" s="37">
        <f t="shared" ca="1" si="16"/>
        <v>72.368223745007185</v>
      </c>
      <c r="G98">
        <f t="shared" si="17"/>
        <v>80</v>
      </c>
    </row>
    <row r="99" spans="1:7" ht="16" x14ac:dyDescent="0.35">
      <c r="A99" s="38">
        <f t="shared" si="18"/>
        <v>97</v>
      </c>
      <c r="B99" s="36">
        <f t="shared" ref="B99:B130" ca="1" si="19">B98*EXP(($K$27-0.5*$K$28^2)*$K$26+$K$28*_xlfn.NORM.S.INV(RAND())*SQRT($K$26))</f>
        <v>76.33411200448711</v>
      </c>
      <c r="C99" s="36">
        <f t="shared" ref="C99:C130" ca="1" si="20">C98*EXP(($K$27-0.5*$K$28^2)*$K$26+$K$28*_xlfn.NORM.S.INV(RAND())*SQRT($K$26))</f>
        <v>87.223980085239006</v>
      </c>
      <c r="D99" s="36">
        <f t="shared" ref="D99:D130" ca="1" si="21">D98*EXP(($K$27-0.5*$K$28^2)*$K$26+$K$28*_xlfn.NORM.S.INV(RAND())*SQRT($K$26))</f>
        <v>88.395907695540558</v>
      </c>
      <c r="E99" s="36">
        <f t="shared" ref="E99:E130" ca="1" si="22">E98*EXP(($K$27-0.5*$K$28^2)*$K$26+$K$28*_xlfn.NORM.S.INV(RAND())*SQRT($K$26))</f>
        <v>67.628232814189602</v>
      </c>
      <c r="F99" s="37">
        <f t="shared" ref="F99:F130" ca="1" si="23">F98*EXP(($K$27-0.5*$K$28^2)*$K$26+$K$28*_xlfn.NORM.S.INV(RAND())*SQRT($K$26))</f>
        <v>71.968278974605212</v>
      </c>
      <c r="G99">
        <f t="shared" si="17"/>
        <v>80</v>
      </c>
    </row>
    <row r="100" spans="1:7" ht="16" x14ac:dyDescent="0.35">
      <c r="A100" s="38">
        <f t="shared" si="18"/>
        <v>98</v>
      </c>
      <c r="B100" s="36">
        <f t="shared" ca="1" si="19"/>
        <v>76.336433878282975</v>
      </c>
      <c r="C100" s="36">
        <f t="shared" ca="1" si="20"/>
        <v>87.997754305431755</v>
      </c>
      <c r="D100" s="36">
        <f t="shared" ca="1" si="21"/>
        <v>89.460985267417925</v>
      </c>
      <c r="E100" s="36">
        <f t="shared" ca="1" si="22"/>
        <v>66.785952896058873</v>
      </c>
      <c r="F100" s="37">
        <f t="shared" ca="1" si="23"/>
        <v>71.817859566793032</v>
      </c>
      <c r="G100">
        <f t="shared" si="17"/>
        <v>80</v>
      </c>
    </row>
    <row r="101" spans="1:7" ht="16" x14ac:dyDescent="0.35">
      <c r="A101" s="38">
        <f t="shared" si="18"/>
        <v>99</v>
      </c>
      <c r="B101" s="36">
        <f t="shared" ca="1" si="19"/>
        <v>75.802298449009115</v>
      </c>
      <c r="C101" s="36">
        <f t="shared" ca="1" si="20"/>
        <v>86.958730444402534</v>
      </c>
      <c r="D101" s="36">
        <f t="shared" ca="1" si="21"/>
        <v>89.285142966973552</v>
      </c>
      <c r="E101" s="36">
        <f t="shared" ca="1" si="22"/>
        <v>66.69913861755002</v>
      </c>
      <c r="F101" s="37">
        <f t="shared" ca="1" si="23"/>
        <v>72.008164304491174</v>
      </c>
      <c r="G101">
        <f t="shared" si="17"/>
        <v>80</v>
      </c>
    </row>
    <row r="102" spans="1:7" ht="16" x14ac:dyDescent="0.35">
      <c r="A102" s="38">
        <f t="shared" si="18"/>
        <v>100</v>
      </c>
      <c r="B102" s="36">
        <f t="shared" ca="1" si="19"/>
        <v>76.192051232882861</v>
      </c>
      <c r="C102" s="36">
        <f t="shared" ca="1" si="20"/>
        <v>86.746903315496226</v>
      </c>
      <c r="D102" s="36">
        <f t="shared" ca="1" si="21"/>
        <v>89.921843093669992</v>
      </c>
      <c r="E102" s="36">
        <f t="shared" ca="1" si="22"/>
        <v>68.191311517496942</v>
      </c>
      <c r="F102" s="37">
        <f t="shared" ca="1" si="23"/>
        <v>73.206255301495545</v>
      </c>
      <c r="G102">
        <f t="shared" si="17"/>
        <v>80</v>
      </c>
    </row>
    <row r="103" spans="1:7" ht="16" x14ac:dyDescent="0.35">
      <c r="A103" s="38">
        <f t="shared" si="18"/>
        <v>101</v>
      </c>
      <c r="B103" s="36">
        <f t="shared" ca="1" si="19"/>
        <v>77.322004885139492</v>
      </c>
      <c r="C103" s="36">
        <f t="shared" ca="1" si="20"/>
        <v>86.111344601813954</v>
      </c>
      <c r="D103" s="36">
        <f t="shared" ca="1" si="21"/>
        <v>88.76009593592056</v>
      </c>
      <c r="E103" s="36">
        <f t="shared" ca="1" si="22"/>
        <v>66.989457675502578</v>
      </c>
      <c r="F103" s="37">
        <f t="shared" ca="1" si="23"/>
        <v>73.938990302227367</v>
      </c>
      <c r="G103">
        <f t="shared" si="17"/>
        <v>80</v>
      </c>
    </row>
    <row r="104" spans="1:7" ht="16" x14ac:dyDescent="0.35">
      <c r="A104" s="38">
        <f t="shared" si="18"/>
        <v>102</v>
      </c>
      <c r="B104" s="36">
        <f t="shared" ca="1" si="19"/>
        <v>76.463144247951945</v>
      </c>
      <c r="C104" s="36">
        <f t="shared" ca="1" si="20"/>
        <v>84.88184905410094</v>
      </c>
      <c r="D104" s="36">
        <f t="shared" ca="1" si="21"/>
        <v>89.317751022237246</v>
      </c>
      <c r="E104" s="36">
        <f t="shared" ca="1" si="22"/>
        <v>67.216352167746393</v>
      </c>
      <c r="F104" s="37">
        <f t="shared" ca="1" si="23"/>
        <v>74.115052376231603</v>
      </c>
      <c r="G104">
        <f t="shared" si="17"/>
        <v>80</v>
      </c>
    </row>
    <row r="105" spans="1:7" ht="16" x14ac:dyDescent="0.35">
      <c r="A105" s="38">
        <f t="shared" si="18"/>
        <v>103</v>
      </c>
      <c r="B105" s="36">
        <f t="shared" ca="1" si="19"/>
        <v>77.351464020243768</v>
      </c>
      <c r="C105" s="36">
        <f t="shared" ca="1" si="20"/>
        <v>85.390924548890084</v>
      </c>
      <c r="D105" s="36">
        <f t="shared" ca="1" si="21"/>
        <v>89.079594095134368</v>
      </c>
      <c r="E105" s="36">
        <f t="shared" ca="1" si="22"/>
        <v>67.314564688734748</v>
      </c>
      <c r="F105" s="37">
        <f t="shared" ca="1" si="23"/>
        <v>74.052927003452538</v>
      </c>
      <c r="G105">
        <f t="shared" si="17"/>
        <v>80</v>
      </c>
    </row>
    <row r="106" spans="1:7" ht="16" x14ac:dyDescent="0.35">
      <c r="A106" s="38">
        <f t="shared" si="18"/>
        <v>104</v>
      </c>
      <c r="B106" s="36">
        <f t="shared" ca="1" si="19"/>
        <v>77.231225524634581</v>
      </c>
      <c r="C106" s="36">
        <f t="shared" ca="1" si="20"/>
        <v>85.784665773798125</v>
      </c>
      <c r="D106" s="36">
        <f t="shared" ca="1" si="21"/>
        <v>89.232963897367682</v>
      </c>
      <c r="E106" s="36">
        <f t="shared" ca="1" si="22"/>
        <v>66.782722050202182</v>
      </c>
      <c r="F106" s="37">
        <f t="shared" ca="1" si="23"/>
        <v>72.971145526990043</v>
      </c>
      <c r="G106">
        <f t="shared" si="17"/>
        <v>80</v>
      </c>
    </row>
    <row r="107" spans="1:7" ht="16" x14ac:dyDescent="0.35">
      <c r="A107" s="38">
        <f t="shared" si="18"/>
        <v>105</v>
      </c>
      <c r="B107" s="36">
        <f t="shared" ca="1" si="19"/>
        <v>77.723910058128538</v>
      </c>
      <c r="C107" s="36">
        <f t="shared" ca="1" si="20"/>
        <v>86.632309174689937</v>
      </c>
      <c r="D107" s="36">
        <f t="shared" ca="1" si="21"/>
        <v>89.243980346899306</v>
      </c>
      <c r="E107" s="36">
        <f t="shared" ca="1" si="22"/>
        <v>66.580086116506365</v>
      </c>
      <c r="F107" s="37">
        <f t="shared" ca="1" si="23"/>
        <v>73.149866971523522</v>
      </c>
      <c r="G107">
        <f t="shared" si="17"/>
        <v>80</v>
      </c>
    </row>
    <row r="108" spans="1:7" ht="16" x14ac:dyDescent="0.35">
      <c r="A108" s="38">
        <f t="shared" si="18"/>
        <v>106</v>
      </c>
      <c r="B108" s="36">
        <f t="shared" ca="1" si="19"/>
        <v>78.493140937241307</v>
      </c>
      <c r="C108" s="36">
        <f t="shared" ca="1" si="20"/>
        <v>85.079049739730621</v>
      </c>
      <c r="D108" s="36">
        <f t="shared" ca="1" si="21"/>
        <v>89.739417189727675</v>
      </c>
      <c r="E108" s="36">
        <f t="shared" ca="1" si="22"/>
        <v>65.996325012356792</v>
      </c>
      <c r="F108" s="37">
        <f t="shared" ca="1" si="23"/>
        <v>73.224018355163452</v>
      </c>
      <c r="G108">
        <f t="shared" si="17"/>
        <v>80</v>
      </c>
    </row>
    <row r="109" spans="1:7" ht="16" x14ac:dyDescent="0.35">
      <c r="A109" s="38">
        <f t="shared" si="18"/>
        <v>107</v>
      </c>
      <c r="B109" s="36">
        <f t="shared" ca="1" si="19"/>
        <v>78.427820194445275</v>
      </c>
      <c r="C109" s="36">
        <f t="shared" ca="1" si="20"/>
        <v>85.799758428158924</v>
      </c>
      <c r="D109" s="36">
        <f t="shared" ca="1" si="21"/>
        <v>90.827508366676923</v>
      </c>
      <c r="E109" s="36">
        <f t="shared" ca="1" si="22"/>
        <v>66.125092998232276</v>
      </c>
      <c r="F109" s="37">
        <f t="shared" ca="1" si="23"/>
        <v>72.663056667187149</v>
      </c>
      <c r="G109">
        <f t="shared" si="17"/>
        <v>80</v>
      </c>
    </row>
    <row r="110" spans="1:7" ht="16" x14ac:dyDescent="0.35">
      <c r="A110" s="38">
        <f t="shared" si="18"/>
        <v>108</v>
      </c>
      <c r="B110" s="36">
        <f t="shared" ca="1" si="19"/>
        <v>77.941900189356687</v>
      </c>
      <c r="C110" s="36">
        <f t="shared" ca="1" si="20"/>
        <v>86.179786931237842</v>
      </c>
      <c r="D110" s="36">
        <f t="shared" ca="1" si="21"/>
        <v>90.369185180404173</v>
      </c>
      <c r="E110" s="36">
        <f t="shared" ca="1" si="22"/>
        <v>65.302409920326255</v>
      </c>
      <c r="F110" s="37">
        <f t="shared" ca="1" si="23"/>
        <v>73.21282111263902</v>
      </c>
      <c r="G110">
        <f t="shared" si="17"/>
        <v>80</v>
      </c>
    </row>
    <row r="111" spans="1:7" ht="16" x14ac:dyDescent="0.35">
      <c r="A111" s="38">
        <f t="shared" si="18"/>
        <v>109</v>
      </c>
      <c r="B111" s="36">
        <f t="shared" ca="1" si="19"/>
        <v>77.558245041331688</v>
      </c>
      <c r="C111" s="36">
        <f t="shared" ca="1" si="20"/>
        <v>85.911996951734352</v>
      </c>
      <c r="D111" s="36">
        <f t="shared" ca="1" si="21"/>
        <v>91.104774822093376</v>
      </c>
      <c r="E111" s="36">
        <f t="shared" ca="1" si="22"/>
        <v>64.974718102930396</v>
      </c>
      <c r="F111" s="37">
        <f t="shared" ca="1" si="23"/>
        <v>72.870981295294158</v>
      </c>
      <c r="G111">
        <f t="shared" si="17"/>
        <v>80</v>
      </c>
    </row>
    <row r="112" spans="1:7" ht="16" x14ac:dyDescent="0.35">
      <c r="A112" s="38">
        <f t="shared" si="18"/>
        <v>110</v>
      </c>
      <c r="B112" s="36">
        <f t="shared" ca="1" si="19"/>
        <v>78.21733760663281</v>
      </c>
      <c r="C112" s="36">
        <f t="shared" ca="1" si="20"/>
        <v>85.390479502777879</v>
      </c>
      <c r="D112" s="36">
        <f t="shared" ca="1" si="21"/>
        <v>92.554485635288955</v>
      </c>
      <c r="E112" s="36">
        <f t="shared" ca="1" si="22"/>
        <v>65.355817384154093</v>
      </c>
      <c r="F112" s="37">
        <f t="shared" ca="1" si="23"/>
        <v>72.981972633211569</v>
      </c>
      <c r="G112">
        <f t="shared" si="17"/>
        <v>80</v>
      </c>
    </row>
    <row r="113" spans="1:7" ht="16" x14ac:dyDescent="0.35">
      <c r="A113" s="38">
        <f t="shared" si="18"/>
        <v>111</v>
      </c>
      <c r="B113" s="36">
        <f t="shared" ca="1" si="19"/>
        <v>79.362752023167104</v>
      </c>
      <c r="C113" s="36">
        <f t="shared" ca="1" si="20"/>
        <v>84.158985448901376</v>
      </c>
      <c r="D113" s="36">
        <f t="shared" ca="1" si="21"/>
        <v>91.92859275720501</v>
      </c>
      <c r="E113" s="36">
        <f t="shared" ca="1" si="22"/>
        <v>65.468559741966018</v>
      </c>
      <c r="F113" s="37">
        <f t="shared" ca="1" si="23"/>
        <v>72.94008946116125</v>
      </c>
      <c r="G113">
        <f t="shared" si="17"/>
        <v>80</v>
      </c>
    </row>
    <row r="114" spans="1:7" ht="16" x14ac:dyDescent="0.35">
      <c r="A114" s="38">
        <f t="shared" si="18"/>
        <v>112</v>
      </c>
      <c r="B114" s="36">
        <f t="shared" ca="1" si="19"/>
        <v>80.241792497759889</v>
      </c>
      <c r="C114" s="36">
        <f t="shared" ca="1" si="20"/>
        <v>85.360670257493197</v>
      </c>
      <c r="D114" s="36">
        <f t="shared" ca="1" si="21"/>
        <v>91.710143471056298</v>
      </c>
      <c r="E114" s="36">
        <f t="shared" ca="1" si="22"/>
        <v>65.960756476284828</v>
      </c>
      <c r="F114" s="37">
        <f t="shared" ca="1" si="23"/>
        <v>72.737486246228329</v>
      </c>
      <c r="G114">
        <f t="shared" si="17"/>
        <v>80</v>
      </c>
    </row>
    <row r="115" spans="1:7" ht="16" x14ac:dyDescent="0.35">
      <c r="A115" s="38">
        <f t="shared" si="18"/>
        <v>113</v>
      </c>
      <c r="B115" s="36">
        <f t="shared" ca="1" si="19"/>
        <v>80.090308054635116</v>
      </c>
      <c r="C115" s="36">
        <f t="shared" ca="1" si="20"/>
        <v>86.478169286220563</v>
      </c>
      <c r="D115" s="36">
        <f t="shared" ca="1" si="21"/>
        <v>92.371951725844468</v>
      </c>
      <c r="E115" s="36">
        <f t="shared" ca="1" si="22"/>
        <v>65.524904709674132</v>
      </c>
      <c r="F115" s="37">
        <f t="shared" ca="1" si="23"/>
        <v>72.496076406098979</v>
      </c>
      <c r="G115">
        <f t="shared" si="17"/>
        <v>80</v>
      </c>
    </row>
    <row r="116" spans="1:7" ht="16" x14ac:dyDescent="0.35">
      <c r="A116" s="38">
        <f t="shared" si="18"/>
        <v>114</v>
      </c>
      <c r="B116" s="36">
        <f t="shared" ca="1" si="19"/>
        <v>79.933170910220326</v>
      </c>
      <c r="C116" s="36">
        <f t="shared" ca="1" si="20"/>
        <v>86.84569946628865</v>
      </c>
      <c r="D116" s="36">
        <f t="shared" ca="1" si="21"/>
        <v>93.976221878784301</v>
      </c>
      <c r="E116" s="36">
        <f t="shared" ca="1" si="22"/>
        <v>65.302167313207278</v>
      </c>
      <c r="F116" s="37">
        <f t="shared" ca="1" si="23"/>
        <v>72.210045767556807</v>
      </c>
      <c r="G116">
        <f t="shared" si="17"/>
        <v>80</v>
      </c>
    </row>
    <row r="117" spans="1:7" ht="16" x14ac:dyDescent="0.35">
      <c r="A117" s="38">
        <f t="shared" si="18"/>
        <v>115</v>
      </c>
      <c r="B117" s="36">
        <f t="shared" ca="1" si="19"/>
        <v>80.917719743523421</v>
      </c>
      <c r="C117" s="36">
        <f t="shared" ca="1" si="20"/>
        <v>87.922135846722696</v>
      </c>
      <c r="D117" s="36">
        <f t="shared" ca="1" si="21"/>
        <v>94.145133499091699</v>
      </c>
      <c r="E117" s="36">
        <f t="shared" ca="1" si="22"/>
        <v>64.695060380337196</v>
      </c>
      <c r="F117" s="37">
        <f t="shared" ca="1" si="23"/>
        <v>71.71978079031372</v>
      </c>
      <c r="G117">
        <f t="shared" si="17"/>
        <v>80</v>
      </c>
    </row>
    <row r="118" spans="1:7" ht="16" x14ac:dyDescent="0.35">
      <c r="A118" s="38">
        <f t="shared" si="18"/>
        <v>116</v>
      </c>
      <c r="B118" s="36">
        <f t="shared" ca="1" si="19"/>
        <v>81.140263652103911</v>
      </c>
      <c r="C118" s="36">
        <f t="shared" ca="1" si="20"/>
        <v>89.024651341106676</v>
      </c>
      <c r="D118" s="36">
        <f t="shared" ca="1" si="21"/>
        <v>94.696102097220148</v>
      </c>
      <c r="E118" s="36">
        <f t="shared" ca="1" si="22"/>
        <v>65.506249520539114</v>
      </c>
      <c r="F118" s="37">
        <f t="shared" ca="1" si="23"/>
        <v>72.192645293019069</v>
      </c>
      <c r="G118">
        <f t="shared" si="17"/>
        <v>80</v>
      </c>
    </row>
    <row r="119" spans="1:7" ht="16" x14ac:dyDescent="0.35">
      <c r="A119" s="38">
        <f t="shared" si="18"/>
        <v>117</v>
      </c>
      <c r="B119" s="36">
        <f t="shared" ca="1" si="19"/>
        <v>81.343246308267624</v>
      </c>
      <c r="C119" s="36">
        <f t="shared" ca="1" si="20"/>
        <v>88.470352697958248</v>
      </c>
      <c r="D119" s="36">
        <f t="shared" ca="1" si="21"/>
        <v>93.555021253955005</v>
      </c>
      <c r="E119" s="36">
        <f t="shared" ca="1" si="22"/>
        <v>65.668341200982383</v>
      </c>
      <c r="F119" s="37">
        <f t="shared" ca="1" si="23"/>
        <v>72.736829219463445</v>
      </c>
      <c r="G119">
        <f t="shared" si="17"/>
        <v>80</v>
      </c>
    </row>
    <row r="120" spans="1:7" ht="16" x14ac:dyDescent="0.35">
      <c r="A120" s="38">
        <f t="shared" si="18"/>
        <v>118</v>
      </c>
      <c r="B120" s="36">
        <f t="shared" ca="1" si="19"/>
        <v>82.50322383509635</v>
      </c>
      <c r="C120" s="36">
        <f t="shared" ca="1" si="20"/>
        <v>89.007617951631346</v>
      </c>
      <c r="D120" s="36">
        <f t="shared" ca="1" si="21"/>
        <v>93.209126250307449</v>
      </c>
      <c r="E120" s="36">
        <f t="shared" ca="1" si="22"/>
        <v>66.189642530384191</v>
      </c>
      <c r="F120" s="37">
        <f t="shared" ca="1" si="23"/>
        <v>73.051564827961514</v>
      </c>
      <c r="G120">
        <f t="shared" si="17"/>
        <v>80</v>
      </c>
    </row>
    <row r="121" spans="1:7" ht="16" x14ac:dyDescent="0.35">
      <c r="A121" s="38">
        <f t="shared" si="18"/>
        <v>119</v>
      </c>
      <c r="B121" s="36">
        <f t="shared" ca="1" si="19"/>
        <v>81.486693935021279</v>
      </c>
      <c r="C121" s="36">
        <f t="shared" ca="1" si="20"/>
        <v>90.329063648074012</v>
      </c>
      <c r="D121" s="36">
        <f t="shared" ca="1" si="21"/>
        <v>94.090262325689409</v>
      </c>
      <c r="E121" s="36">
        <f t="shared" ca="1" si="22"/>
        <v>66.469939564419775</v>
      </c>
      <c r="F121" s="37">
        <f t="shared" ca="1" si="23"/>
        <v>71.819346623858465</v>
      </c>
      <c r="G121">
        <f t="shared" si="17"/>
        <v>80</v>
      </c>
    </row>
    <row r="122" spans="1:7" ht="16" x14ac:dyDescent="0.35">
      <c r="A122" s="38">
        <f t="shared" si="18"/>
        <v>120</v>
      </c>
      <c r="B122" s="36">
        <f t="shared" ca="1" si="19"/>
        <v>82.013480618855397</v>
      </c>
      <c r="C122" s="36">
        <f t="shared" ca="1" si="20"/>
        <v>90.437633443430272</v>
      </c>
      <c r="D122" s="36">
        <f t="shared" ca="1" si="21"/>
        <v>94.905267597509308</v>
      </c>
      <c r="E122" s="36">
        <f t="shared" ca="1" si="22"/>
        <v>65.858382201108626</v>
      </c>
      <c r="F122" s="37">
        <f t="shared" ca="1" si="23"/>
        <v>72.419455060813078</v>
      </c>
      <c r="G122">
        <f t="shared" si="17"/>
        <v>80</v>
      </c>
    </row>
    <row r="123" spans="1:7" ht="16" x14ac:dyDescent="0.35">
      <c r="A123" s="38">
        <f t="shared" si="18"/>
        <v>121</v>
      </c>
      <c r="B123" s="36">
        <f t="shared" ca="1" si="19"/>
        <v>82.781213463321308</v>
      </c>
      <c r="C123" s="36">
        <f t="shared" ca="1" si="20"/>
        <v>89.855127002966668</v>
      </c>
      <c r="D123" s="36">
        <f t="shared" ca="1" si="21"/>
        <v>95.818594270503937</v>
      </c>
      <c r="E123" s="36">
        <f t="shared" ca="1" si="22"/>
        <v>65.960879012488107</v>
      </c>
      <c r="F123" s="37">
        <f t="shared" ca="1" si="23"/>
        <v>72.725648872111151</v>
      </c>
      <c r="G123">
        <f t="shared" si="17"/>
        <v>80</v>
      </c>
    </row>
    <row r="124" spans="1:7" ht="16" x14ac:dyDescent="0.35">
      <c r="A124" s="38">
        <f t="shared" si="18"/>
        <v>122</v>
      </c>
      <c r="B124" s="36">
        <f t="shared" ca="1" si="19"/>
        <v>82.876371198276871</v>
      </c>
      <c r="C124" s="36">
        <f t="shared" ca="1" si="20"/>
        <v>90.092949425026376</v>
      </c>
      <c r="D124" s="36">
        <f t="shared" ca="1" si="21"/>
        <v>95.600174878407799</v>
      </c>
      <c r="E124" s="36">
        <f t="shared" ca="1" si="22"/>
        <v>66.56561069773602</v>
      </c>
      <c r="F124" s="37">
        <f t="shared" ca="1" si="23"/>
        <v>72.527588940068156</v>
      </c>
      <c r="G124">
        <f t="shared" si="17"/>
        <v>80</v>
      </c>
    </row>
    <row r="125" spans="1:7" ht="16" x14ac:dyDescent="0.35">
      <c r="A125" s="38">
        <f t="shared" si="18"/>
        <v>123</v>
      </c>
      <c r="B125" s="36">
        <f t="shared" ca="1" si="19"/>
        <v>82.261670585244389</v>
      </c>
      <c r="C125" s="36">
        <f t="shared" ca="1" si="20"/>
        <v>90.743735253279368</v>
      </c>
      <c r="D125" s="36">
        <f t="shared" ca="1" si="21"/>
        <v>96.033002181974581</v>
      </c>
      <c r="E125" s="36">
        <f t="shared" ca="1" si="22"/>
        <v>67.341263275825654</v>
      </c>
      <c r="F125" s="37">
        <f t="shared" ca="1" si="23"/>
        <v>73.223354917592616</v>
      </c>
      <c r="G125">
        <f t="shared" si="17"/>
        <v>80</v>
      </c>
    </row>
    <row r="126" spans="1:7" ht="16" x14ac:dyDescent="0.35">
      <c r="A126" s="38">
        <f t="shared" si="18"/>
        <v>124</v>
      </c>
      <c r="B126" s="36">
        <f t="shared" ca="1" si="19"/>
        <v>82.233478880635701</v>
      </c>
      <c r="C126" s="36">
        <f t="shared" ca="1" si="20"/>
        <v>90.676520740202989</v>
      </c>
      <c r="D126" s="36">
        <f t="shared" ca="1" si="21"/>
        <v>95.914638359225108</v>
      </c>
      <c r="E126" s="36">
        <f t="shared" ca="1" si="22"/>
        <v>67.203748291499039</v>
      </c>
      <c r="F126" s="37">
        <f t="shared" ca="1" si="23"/>
        <v>74.088869250050962</v>
      </c>
      <c r="G126">
        <f t="shared" si="17"/>
        <v>80</v>
      </c>
    </row>
    <row r="127" spans="1:7" ht="16" x14ac:dyDescent="0.35">
      <c r="A127" s="38">
        <f t="shared" si="18"/>
        <v>125</v>
      </c>
      <c r="B127" s="36">
        <f t="shared" ca="1" si="19"/>
        <v>82.384991057091966</v>
      </c>
      <c r="C127" s="36">
        <f t="shared" ca="1" si="20"/>
        <v>91.009365241020362</v>
      </c>
      <c r="D127" s="36">
        <f t="shared" ca="1" si="21"/>
        <v>96.183237977041429</v>
      </c>
      <c r="E127" s="36">
        <f t="shared" ca="1" si="22"/>
        <v>66.525523356212162</v>
      </c>
      <c r="F127" s="37">
        <f t="shared" ca="1" si="23"/>
        <v>75.126962792385839</v>
      </c>
      <c r="G127">
        <f t="shared" si="17"/>
        <v>80</v>
      </c>
    </row>
    <row r="128" spans="1:7" ht="16" x14ac:dyDescent="0.35">
      <c r="A128" s="38">
        <f t="shared" si="18"/>
        <v>126</v>
      </c>
      <c r="B128" s="36">
        <f t="shared" ca="1" si="19"/>
        <v>82.306616341838591</v>
      </c>
      <c r="C128" s="36">
        <f t="shared" ca="1" si="20"/>
        <v>90.043084492823922</v>
      </c>
      <c r="D128" s="36">
        <f t="shared" ca="1" si="21"/>
        <v>95.50533185220786</v>
      </c>
      <c r="E128" s="36">
        <f t="shared" ca="1" si="22"/>
        <v>66.282959668325063</v>
      </c>
      <c r="F128" s="37">
        <f t="shared" ca="1" si="23"/>
        <v>75.167173242385601</v>
      </c>
      <c r="G128">
        <f t="shared" si="17"/>
        <v>80</v>
      </c>
    </row>
    <row r="129" spans="1:7" ht="16" x14ac:dyDescent="0.35">
      <c r="A129" s="38">
        <f t="shared" si="18"/>
        <v>127</v>
      </c>
      <c r="B129" s="36">
        <f t="shared" ca="1" si="19"/>
        <v>81.887914928612091</v>
      </c>
      <c r="C129" s="36">
        <f t="shared" ca="1" si="20"/>
        <v>90.334648880170761</v>
      </c>
      <c r="D129" s="36">
        <f t="shared" ca="1" si="21"/>
        <v>95.836793951349279</v>
      </c>
      <c r="E129" s="36">
        <f t="shared" ca="1" si="22"/>
        <v>66.831339881461332</v>
      </c>
      <c r="F129" s="37">
        <f t="shared" ca="1" si="23"/>
        <v>74.442844376634582</v>
      </c>
      <c r="G129">
        <f t="shared" si="17"/>
        <v>80</v>
      </c>
    </row>
    <row r="130" spans="1:7" ht="16" x14ac:dyDescent="0.35">
      <c r="A130" s="38">
        <f t="shared" si="18"/>
        <v>128</v>
      </c>
      <c r="B130" s="36">
        <f t="shared" ca="1" si="19"/>
        <v>81.844665643243985</v>
      </c>
      <c r="C130" s="36">
        <f t="shared" ca="1" si="20"/>
        <v>90.840785228392207</v>
      </c>
      <c r="D130" s="36">
        <f t="shared" ca="1" si="21"/>
        <v>95.787733924466224</v>
      </c>
      <c r="E130" s="36">
        <f t="shared" ca="1" si="22"/>
        <v>67.985065848590821</v>
      </c>
      <c r="F130" s="37">
        <f t="shared" ca="1" si="23"/>
        <v>74.209295143484837</v>
      </c>
      <c r="G130">
        <f t="shared" si="17"/>
        <v>80</v>
      </c>
    </row>
    <row r="131" spans="1:7" ht="16" x14ac:dyDescent="0.35">
      <c r="A131" s="38">
        <f t="shared" si="18"/>
        <v>129</v>
      </c>
      <c r="B131" s="36">
        <f t="shared" ref="B131:B162" ca="1" si="24">B130*EXP(($K$27-0.5*$K$28^2)*$K$26+$K$28*_xlfn.NORM.S.INV(RAND())*SQRT($K$26))</f>
        <v>80.864459533028992</v>
      </c>
      <c r="C131" s="36">
        <f t="shared" ref="C131:C162" ca="1" si="25">C130*EXP(($K$27-0.5*$K$28^2)*$K$26+$K$28*_xlfn.NORM.S.INV(RAND())*SQRT($K$26))</f>
        <v>91.665846018934118</v>
      </c>
      <c r="D131" s="36">
        <f t="shared" ref="D131:D162" ca="1" si="26">D130*EXP(($K$27-0.5*$K$28^2)*$K$26+$K$28*_xlfn.NORM.S.INV(RAND())*SQRT($K$26))</f>
        <v>95.860055232605475</v>
      </c>
      <c r="E131" s="36">
        <f t="shared" ref="E131:E162" ca="1" si="27">E130*EXP(($K$27-0.5*$K$28^2)*$K$26+$K$28*_xlfn.NORM.S.INV(RAND())*SQRT($K$26))</f>
        <v>67.495098572515886</v>
      </c>
      <c r="F131" s="37">
        <f t="shared" ref="F131:F162" ca="1" si="28">F130*EXP(($K$27-0.5*$K$28^2)*$K$26+$K$28*_xlfn.NORM.S.INV(RAND())*SQRT($K$26))</f>
        <v>73.362718835302445</v>
      </c>
      <c r="G131">
        <f t="shared" ref="G131:G194" si="29">$K$22</f>
        <v>80</v>
      </c>
    </row>
    <row r="132" spans="1:7" ht="16" x14ac:dyDescent="0.35">
      <c r="A132" s="38">
        <f t="shared" si="18"/>
        <v>130</v>
      </c>
      <c r="B132" s="36">
        <f t="shared" ca="1" si="24"/>
        <v>80.704232298988188</v>
      </c>
      <c r="C132" s="36">
        <f t="shared" ca="1" si="25"/>
        <v>91.734844217009538</v>
      </c>
      <c r="D132" s="36">
        <f t="shared" ca="1" si="26"/>
        <v>94.879750070508052</v>
      </c>
      <c r="E132" s="36">
        <f t="shared" ca="1" si="27"/>
        <v>67.825478283021368</v>
      </c>
      <c r="F132" s="37">
        <f t="shared" ca="1" si="28"/>
        <v>72.562274936346967</v>
      </c>
      <c r="G132">
        <f t="shared" si="29"/>
        <v>80</v>
      </c>
    </row>
    <row r="133" spans="1:7" ht="16" x14ac:dyDescent="0.35">
      <c r="A133" s="38">
        <f t="shared" si="18"/>
        <v>131</v>
      </c>
      <c r="B133" s="36">
        <f t="shared" ca="1" si="24"/>
        <v>82.004121819891978</v>
      </c>
      <c r="C133" s="36">
        <f t="shared" ca="1" si="25"/>
        <v>92.680582946748927</v>
      </c>
      <c r="D133" s="36">
        <f t="shared" ca="1" si="26"/>
        <v>92.386055127825472</v>
      </c>
      <c r="E133" s="36">
        <f t="shared" ca="1" si="27"/>
        <v>67.529125108293016</v>
      </c>
      <c r="F133" s="37">
        <f t="shared" ca="1" si="28"/>
        <v>73.021977992482547</v>
      </c>
      <c r="G133">
        <f t="shared" si="29"/>
        <v>80</v>
      </c>
    </row>
    <row r="134" spans="1:7" ht="16" x14ac:dyDescent="0.35">
      <c r="A134" s="38">
        <f t="shared" ref="A134:A166" si="30">A133+1</f>
        <v>132</v>
      </c>
      <c r="B134" s="36">
        <f t="shared" ca="1" si="24"/>
        <v>81.379964200904908</v>
      </c>
      <c r="C134" s="36">
        <f t="shared" ca="1" si="25"/>
        <v>93.437644982885971</v>
      </c>
      <c r="D134" s="36">
        <f t="shared" ca="1" si="26"/>
        <v>92.731533552492309</v>
      </c>
      <c r="E134" s="36">
        <f t="shared" ca="1" si="27"/>
        <v>68.078198713736185</v>
      </c>
      <c r="F134" s="37">
        <f t="shared" ca="1" si="28"/>
        <v>73.50791924999784</v>
      </c>
      <c r="G134">
        <f t="shared" si="29"/>
        <v>80</v>
      </c>
    </row>
    <row r="135" spans="1:7" ht="16" x14ac:dyDescent="0.35">
      <c r="A135" s="38">
        <f t="shared" si="30"/>
        <v>133</v>
      </c>
      <c r="B135" s="36">
        <f t="shared" ca="1" si="24"/>
        <v>82.018627861804319</v>
      </c>
      <c r="C135" s="36">
        <f t="shared" ca="1" si="25"/>
        <v>92.518424372796815</v>
      </c>
      <c r="D135" s="36">
        <f t="shared" ca="1" si="26"/>
        <v>92.210808969595021</v>
      </c>
      <c r="E135" s="36">
        <f t="shared" ca="1" si="27"/>
        <v>68.161954546028198</v>
      </c>
      <c r="F135" s="37">
        <f t="shared" ca="1" si="28"/>
        <v>73.165917766015482</v>
      </c>
      <c r="G135">
        <f t="shared" si="29"/>
        <v>80</v>
      </c>
    </row>
    <row r="136" spans="1:7" ht="16" x14ac:dyDescent="0.35">
      <c r="A136" s="38">
        <f t="shared" si="30"/>
        <v>134</v>
      </c>
      <c r="B136" s="36">
        <f t="shared" ca="1" si="24"/>
        <v>82.184482619501267</v>
      </c>
      <c r="C136" s="36">
        <f t="shared" ca="1" si="25"/>
        <v>93.165936065688584</v>
      </c>
      <c r="D136" s="36">
        <f t="shared" ca="1" si="26"/>
        <v>91.701338748908768</v>
      </c>
      <c r="E136" s="36">
        <f t="shared" ca="1" si="27"/>
        <v>68.845197451598082</v>
      </c>
      <c r="F136" s="37">
        <f t="shared" ca="1" si="28"/>
        <v>73.337798353706745</v>
      </c>
      <c r="G136">
        <f t="shared" si="29"/>
        <v>80</v>
      </c>
    </row>
    <row r="137" spans="1:7" ht="16" x14ac:dyDescent="0.35">
      <c r="A137" s="38">
        <f t="shared" si="30"/>
        <v>135</v>
      </c>
      <c r="B137" s="36">
        <f t="shared" ca="1" si="24"/>
        <v>82.045834432776473</v>
      </c>
      <c r="C137" s="36">
        <f t="shared" ca="1" si="25"/>
        <v>92.766345928024478</v>
      </c>
      <c r="D137" s="36">
        <f t="shared" ca="1" si="26"/>
        <v>91.696018673934589</v>
      </c>
      <c r="E137" s="36">
        <f t="shared" ca="1" si="27"/>
        <v>69.269677281905999</v>
      </c>
      <c r="F137" s="37">
        <f t="shared" ca="1" si="28"/>
        <v>72.960076653838897</v>
      </c>
      <c r="G137">
        <f t="shared" si="29"/>
        <v>80</v>
      </c>
    </row>
    <row r="138" spans="1:7" ht="16" x14ac:dyDescent="0.35">
      <c r="A138" s="38">
        <f t="shared" si="30"/>
        <v>136</v>
      </c>
      <c r="B138" s="36">
        <f t="shared" ca="1" si="24"/>
        <v>81.499158911117192</v>
      </c>
      <c r="C138" s="36">
        <f t="shared" ca="1" si="25"/>
        <v>91.87636844402958</v>
      </c>
      <c r="D138" s="36">
        <f t="shared" ca="1" si="26"/>
        <v>92.504849800051957</v>
      </c>
      <c r="E138" s="36">
        <f t="shared" ca="1" si="27"/>
        <v>68.575230406337539</v>
      </c>
      <c r="F138" s="37">
        <f t="shared" ca="1" si="28"/>
        <v>73.096832799032455</v>
      </c>
      <c r="G138">
        <f t="shared" si="29"/>
        <v>80</v>
      </c>
    </row>
    <row r="139" spans="1:7" ht="16" x14ac:dyDescent="0.35">
      <c r="A139" s="38">
        <f t="shared" si="30"/>
        <v>137</v>
      </c>
      <c r="B139" s="36">
        <f t="shared" ca="1" si="24"/>
        <v>81.946293639612634</v>
      </c>
      <c r="C139" s="36">
        <f t="shared" ca="1" si="25"/>
        <v>91.025326094270341</v>
      </c>
      <c r="D139" s="36">
        <f t="shared" ca="1" si="26"/>
        <v>92.587702840659517</v>
      </c>
      <c r="E139" s="36">
        <f t="shared" ca="1" si="27"/>
        <v>67.440604715996002</v>
      </c>
      <c r="F139" s="37">
        <f t="shared" ca="1" si="28"/>
        <v>73.705331467051508</v>
      </c>
      <c r="G139">
        <f t="shared" si="29"/>
        <v>80</v>
      </c>
    </row>
    <row r="140" spans="1:7" ht="16" x14ac:dyDescent="0.35">
      <c r="A140" s="38">
        <f t="shared" si="30"/>
        <v>138</v>
      </c>
      <c r="B140" s="36">
        <f t="shared" ca="1" si="24"/>
        <v>81.894350995307803</v>
      </c>
      <c r="C140" s="36">
        <f t="shared" ca="1" si="25"/>
        <v>90.081083589118066</v>
      </c>
      <c r="D140" s="36">
        <f t="shared" ca="1" si="26"/>
        <v>92.741161757985225</v>
      </c>
      <c r="E140" s="36">
        <f t="shared" ca="1" si="27"/>
        <v>67.783984487507098</v>
      </c>
      <c r="F140" s="37">
        <f t="shared" ca="1" si="28"/>
        <v>72.272554798626558</v>
      </c>
      <c r="G140">
        <f t="shared" si="29"/>
        <v>80</v>
      </c>
    </row>
    <row r="141" spans="1:7" ht="16" x14ac:dyDescent="0.35">
      <c r="A141" s="38">
        <f t="shared" si="30"/>
        <v>139</v>
      </c>
      <c r="B141" s="36">
        <f t="shared" ca="1" si="24"/>
        <v>81.220284873098535</v>
      </c>
      <c r="C141" s="36">
        <f t="shared" ca="1" si="25"/>
        <v>90.331428409995681</v>
      </c>
      <c r="D141" s="36">
        <f t="shared" ca="1" si="26"/>
        <v>92.877652358355959</v>
      </c>
      <c r="E141" s="36">
        <f t="shared" ca="1" si="27"/>
        <v>68.075469430019993</v>
      </c>
      <c r="F141" s="37">
        <f t="shared" ca="1" si="28"/>
        <v>72.918003688535734</v>
      </c>
      <c r="G141">
        <f t="shared" si="29"/>
        <v>80</v>
      </c>
    </row>
    <row r="142" spans="1:7" ht="16" x14ac:dyDescent="0.35">
      <c r="A142" s="38">
        <f t="shared" si="30"/>
        <v>140</v>
      </c>
      <c r="B142" s="36">
        <f t="shared" ca="1" si="24"/>
        <v>80.389209614489374</v>
      </c>
      <c r="C142" s="36">
        <f t="shared" ca="1" si="25"/>
        <v>90.439703333348319</v>
      </c>
      <c r="D142" s="36">
        <f t="shared" ca="1" si="26"/>
        <v>93.274536403046667</v>
      </c>
      <c r="E142" s="36">
        <f t="shared" ca="1" si="27"/>
        <v>68.715536871557816</v>
      </c>
      <c r="F142" s="37">
        <f t="shared" ca="1" si="28"/>
        <v>74.117480585820189</v>
      </c>
      <c r="G142">
        <f t="shared" si="29"/>
        <v>80</v>
      </c>
    </row>
    <row r="143" spans="1:7" ht="16" x14ac:dyDescent="0.35">
      <c r="A143" s="38">
        <f t="shared" si="30"/>
        <v>141</v>
      </c>
      <c r="B143" s="36">
        <f t="shared" ca="1" si="24"/>
        <v>81.457189380726817</v>
      </c>
      <c r="C143" s="36">
        <f t="shared" ca="1" si="25"/>
        <v>90.016511258387922</v>
      </c>
      <c r="D143" s="36">
        <f t="shared" ca="1" si="26"/>
        <v>92.668256834342515</v>
      </c>
      <c r="E143" s="36">
        <f t="shared" ca="1" si="27"/>
        <v>69.164391083499183</v>
      </c>
      <c r="F143" s="37">
        <f t="shared" ca="1" si="28"/>
        <v>75.053621442533597</v>
      </c>
      <c r="G143">
        <f t="shared" si="29"/>
        <v>80</v>
      </c>
    </row>
    <row r="144" spans="1:7" ht="16" x14ac:dyDescent="0.35">
      <c r="A144" s="38">
        <f t="shared" si="30"/>
        <v>142</v>
      </c>
      <c r="B144" s="36">
        <f t="shared" ca="1" si="24"/>
        <v>80.139015203404199</v>
      </c>
      <c r="C144" s="36">
        <f t="shared" ca="1" si="25"/>
        <v>90.418938721365706</v>
      </c>
      <c r="D144" s="36">
        <f t="shared" ca="1" si="26"/>
        <v>93.955311307341759</v>
      </c>
      <c r="E144" s="36">
        <f t="shared" ca="1" si="27"/>
        <v>70.192774749956754</v>
      </c>
      <c r="F144" s="37">
        <f t="shared" ca="1" si="28"/>
        <v>75.453466053170558</v>
      </c>
      <c r="G144">
        <f t="shared" si="29"/>
        <v>80</v>
      </c>
    </row>
    <row r="145" spans="1:7" ht="16" x14ac:dyDescent="0.35">
      <c r="A145" s="38">
        <f t="shared" si="30"/>
        <v>143</v>
      </c>
      <c r="B145" s="36">
        <f t="shared" ca="1" si="24"/>
        <v>80.009488360764124</v>
      </c>
      <c r="C145" s="36">
        <f t="shared" ca="1" si="25"/>
        <v>90.584777254865656</v>
      </c>
      <c r="D145" s="36">
        <f t="shared" ca="1" si="26"/>
        <v>92.670355083990671</v>
      </c>
      <c r="E145" s="36">
        <f t="shared" ca="1" si="27"/>
        <v>70.932056448407351</v>
      </c>
      <c r="F145" s="37">
        <f t="shared" ca="1" si="28"/>
        <v>74.665901810221513</v>
      </c>
      <c r="G145">
        <f t="shared" si="29"/>
        <v>80</v>
      </c>
    </row>
    <row r="146" spans="1:7" ht="16" x14ac:dyDescent="0.35">
      <c r="A146" s="38">
        <f t="shared" si="30"/>
        <v>144</v>
      </c>
      <c r="B146" s="36">
        <f t="shared" ca="1" si="24"/>
        <v>80.099774948488715</v>
      </c>
      <c r="C146" s="36">
        <f t="shared" ca="1" si="25"/>
        <v>90.312483890170029</v>
      </c>
      <c r="D146" s="36">
        <f t="shared" ca="1" si="26"/>
        <v>91.716740921960124</v>
      </c>
      <c r="E146" s="36">
        <f t="shared" ca="1" si="27"/>
        <v>71.275805506429933</v>
      </c>
      <c r="F146" s="37">
        <f t="shared" ca="1" si="28"/>
        <v>75.130239133276376</v>
      </c>
      <c r="G146">
        <f t="shared" si="29"/>
        <v>80</v>
      </c>
    </row>
    <row r="147" spans="1:7" ht="16" x14ac:dyDescent="0.35">
      <c r="A147" s="38">
        <f t="shared" si="30"/>
        <v>145</v>
      </c>
      <c r="B147" s="36">
        <f t="shared" ca="1" si="24"/>
        <v>80.28380976985774</v>
      </c>
      <c r="C147" s="36">
        <f t="shared" ca="1" si="25"/>
        <v>89.054934235781531</v>
      </c>
      <c r="D147" s="36">
        <f t="shared" ca="1" si="26"/>
        <v>90.813799008658194</v>
      </c>
      <c r="E147" s="36">
        <f t="shared" ca="1" si="27"/>
        <v>71.157873098249382</v>
      </c>
      <c r="F147" s="37">
        <f t="shared" ca="1" si="28"/>
        <v>74.935801991407615</v>
      </c>
      <c r="G147">
        <f t="shared" si="29"/>
        <v>80</v>
      </c>
    </row>
    <row r="148" spans="1:7" ht="16" x14ac:dyDescent="0.35">
      <c r="A148" s="38">
        <f t="shared" si="30"/>
        <v>146</v>
      </c>
      <c r="B148" s="36">
        <f t="shared" ca="1" si="24"/>
        <v>79.167957546455639</v>
      </c>
      <c r="C148" s="36">
        <f t="shared" ca="1" si="25"/>
        <v>89.568455445970017</v>
      </c>
      <c r="D148" s="36">
        <f t="shared" ca="1" si="26"/>
        <v>91.572883360284479</v>
      </c>
      <c r="E148" s="36">
        <f t="shared" ca="1" si="27"/>
        <v>70.389444613044674</v>
      </c>
      <c r="F148" s="37">
        <f t="shared" ca="1" si="28"/>
        <v>74.74677517962904</v>
      </c>
      <c r="G148">
        <f t="shared" si="29"/>
        <v>80</v>
      </c>
    </row>
    <row r="149" spans="1:7" ht="16" x14ac:dyDescent="0.35">
      <c r="A149" s="38">
        <f t="shared" si="30"/>
        <v>147</v>
      </c>
      <c r="B149" s="36">
        <f t="shared" ca="1" si="24"/>
        <v>78.198333195774865</v>
      </c>
      <c r="C149" s="36">
        <f t="shared" ca="1" si="25"/>
        <v>90.088111791849414</v>
      </c>
      <c r="D149" s="36">
        <f t="shared" ca="1" si="26"/>
        <v>92.920618618323417</v>
      </c>
      <c r="E149" s="36">
        <f t="shared" ca="1" si="27"/>
        <v>70.400042831024848</v>
      </c>
      <c r="F149" s="37">
        <f t="shared" ca="1" si="28"/>
        <v>75.524347755223147</v>
      </c>
      <c r="G149">
        <f t="shared" si="29"/>
        <v>80</v>
      </c>
    </row>
    <row r="150" spans="1:7" ht="16" x14ac:dyDescent="0.35">
      <c r="A150" s="38">
        <f t="shared" si="30"/>
        <v>148</v>
      </c>
      <c r="B150" s="36">
        <f t="shared" ca="1" si="24"/>
        <v>77.817240332222738</v>
      </c>
      <c r="C150" s="36">
        <f t="shared" ca="1" si="25"/>
        <v>89.596137444095234</v>
      </c>
      <c r="D150" s="36">
        <f t="shared" ca="1" si="26"/>
        <v>92.772930663173995</v>
      </c>
      <c r="E150" s="36">
        <f t="shared" ca="1" si="27"/>
        <v>70.611190316315856</v>
      </c>
      <c r="F150" s="37">
        <f t="shared" ca="1" si="28"/>
        <v>75.728314653807132</v>
      </c>
      <c r="G150">
        <f t="shared" si="29"/>
        <v>80</v>
      </c>
    </row>
    <row r="151" spans="1:7" ht="16" x14ac:dyDescent="0.35">
      <c r="A151" s="38">
        <f t="shared" si="30"/>
        <v>149</v>
      </c>
      <c r="B151" s="36">
        <f t="shared" ca="1" si="24"/>
        <v>76.713988267352065</v>
      </c>
      <c r="C151" s="36">
        <f t="shared" ca="1" si="25"/>
        <v>89.366252409272363</v>
      </c>
      <c r="D151" s="36">
        <f t="shared" ca="1" si="26"/>
        <v>92.127217624943384</v>
      </c>
      <c r="E151" s="36">
        <f t="shared" ca="1" si="27"/>
        <v>71.250264183550854</v>
      </c>
      <c r="F151" s="37">
        <f t="shared" ca="1" si="28"/>
        <v>75.309356105549611</v>
      </c>
      <c r="G151">
        <f t="shared" si="29"/>
        <v>80</v>
      </c>
    </row>
    <row r="152" spans="1:7" ht="16" x14ac:dyDescent="0.35">
      <c r="A152" s="38">
        <f t="shared" si="30"/>
        <v>150</v>
      </c>
      <c r="B152" s="36">
        <f t="shared" ca="1" si="24"/>
        <v>76.738723438252308</v>
      </c>
      <c r="C152" s="36">
        <f t="shared" ca="1" si="25"/>
        <v>88.377207715018443</v>
      </c>
      <c r="D152" s="36">
        <f t="shared" ca="1" si="26"/>
        <v>92.526238634088614</v>
      </c>
      <c r="E152" s="36">
        <f t="shared" ca="1" si="27"/>
        <v>71.44897414864532</v>
      </c>
      <c r="F152" s="37">
        <f t="shared" ca="1" si="28"/>
        <v>75.336188808196368</v>
      </c>
      <c r="G152">
        <f t="shared" si="29"/>
        <v>80</v>
      </c>
    </row>
    <row r="153" spans="1:7" ht="16" x14ac:dyDescent="0.35">
      <c r="A153" s="38">
        <f t="shared" si="30"/>
        <v>151</v>
      </c>
      <c r="B153" s="36">
        <f t="shared" ca="1" si="24"/>
        <v>75.477560711076109</v>
      </c>
      <c r="C153" s="36">
        <f t="shared" ca="1" si="25"/>
        <v>88.081416362537652</v>
      </c>
      <c r="D153" s="36">
        <f t="shared" ca="1" si="26"/>
        <v>91.437144159755746</v>
      </c>
      <c r="E153" s="36">
        <f t="shared" ca="1" si="27"/>
        <v>71.311015628616644</v>
      </c>
      <c r="F153" s="37">
        <f t="shared" ca="1" si="28"/>
        <v>74.948405338346717</v>
      </c>
      <c r="G153">
        <f t="shared" si="29"/>
        <v>80</v>
      </c>
    </row>
    <row r="154" spans="1:7" ht="16" x14ac:dyDescent="0.35">
      <c r="A154" s="38">
        <f t="shared" si="30"/>
        <v>152</v>
      </c>
      <c r="B154" s="36">
        <f t="shared" ca="1" si="24"/>
        <v>76.050370978113619</v>
      </c>
      <c r="C154" s="36">
        <f t="shared" ca="1" si="25"/>
        <v>89.077739135787567</v>
      </c>
      <c r="D154" s="36">
        <f t="shared" ca="1" si="26"/>
        <v>92.073159943353176</v>
      </c>
      <c r="E154" s="36">
        <f t="shared" ca="1" si="27"/>
        <v>72.333123828486549</v>
      </c>
      <c r="F154" s="37">
        <f t="shared" ca="1" si="28"/>
        <v>74.66477704147691</v>
      </c>
      <c r="G154">
        <f t="shared" si="29"/>
        <v>80</v>
      </c>
    </row>
    <row r="155" spans="1:7" ht="16" x14ac:dyDescent="0.35">
      <c r="A155" s="38">
        <f t="shared" si="30"/>
        <v>153</v>
      </c>
      <c r="B155" s="36">
        <f t="shared" ca="1" si="24"/>
        <v>76.844481717256571</v>
      </c>
      <c r="C155" s="36">
        <f t="shared" ca="1" si="25"/>
        <v>89.756143133272971</v>
      </c>
      <c r="D155" s="36">
        <f t="shared" ca="1" si="26"/>
        <v>93.278015795062387</v>
      </c>
      <c r="E155" s="36">
        <f t="shared" ca="1" si="27"/>
        <v>72.454558892456234</v>
      </c>
      <c r="F155" s="37">
        <f t="shared" ca="1" si="28"/>
        <v>74.269550558583575</v>
      </c>
      <c r="G155">
        <f t="shared" si="29"/>
        <v>80</v>
      </c>
    </row>
    <row r="156" spans="1:7" ht="16" x14ac:dyDescent="0.35">
      <c r="A156" s="38">
        <f t="shared" si="30"/>
        <v>154</v>
      </c>
      <c r="B156" s="36">
        <f t="shared" ca="1" si="24"/>
        <v>76.519675097150909</v>
      </c>
      <c r="C156" s="36">
        <f t="shared" ca="1" si="25"/>
        <v>91.422409678568698</v>
      </c>
      <c r="D156" s="36">
        <f t="shared" ca="1" si="26"/>
        <v>93.731129129613109</v>
      </c>
      <c r="E156" s="36">
        <f t="shared" ca="1" si="27"/>
        <v>72.181355620300351</v>
      </c>
      <c r="F156" s="37">
        <f t="shared" ca="1" si="28"/>
        <v>74.834263224468586</v>
      </c>
      <c r="G156">
        <f t="shared" si="29"/>
        <v>80</v>
      </c>
    </row>
    <row r="157" spans="1:7" ht="16" x14ac:dyDescent="0.35">
      <c r="A157" s="38">
        <f t="shared" si="30"/>
        <v>155</v>
      </c>
      <c r="B157" s="36">
        <f t="shared" ca="1" si="24"/>
        <v>75.479105907190117</v>
      </c>
      <c r="C157" s="36">
        <f t="shared" ca="1" si="25"/>
        <v>90.392757320245934</v>
      </c>
      <c r="D157" s="36">
        <f t="shared" ca="1" si="26"/>
        <v>94.687933790436844</v>
      </c>
      <c r="E157" s="36">
        <f t="shared" ca="1" si="27"/>
        <v>72.438719542369441</v>
      </c>
      <c r="F157" s="37">
        <f t="shared" ca="1" si="28"/>
        <v>75.253050391440027</v>
      </c>
      <c r="G157">
        <f t="shared" si="29"/>
        <v>80</v>
      </c>
    </row>
    <row r="158" spans="1:7" ht="16" x14ac:dyDescent="0.35">
      <c r="A158" s="38">
        <f t="shared" si="30"/>
        <v>156</v>
      </c>
      <c r="B158" s="36">
        <f t="shared" ca="1" si="24"/>
        <v>75.63256928508342</v>
      </c>
      <c r="C158" s="36">
        <f t="shared" ca="1" si="25"/>
        <v>89.651668159305757</v>
      </c>
      <c r="D158" s="36">
        <f t="shared" ca="1" si="26"/>
        <v>94.328397901738285</v>
      </c>
      <c r="E158" s="36">
        <f t="shared" ca="1" si="27"/>
        <v>74.231020110471547</v>
      </c>
      <c r="F158" s="37">
        <f t="shared" ca="1" si="28"/>
        <v>75.728653908051754</v>
      </c>
      <c r="G158">
        <f t="shared" si="29"/>
        <v>80</v>
      </c>
    </row>
    <row r="159" spans="1:7" ht="16" x14ac:dyDescent="0.35">
      <c r="A159" s="38">
        <f t="shared" si="30"/>
        <v>157</v>
      </c>
      <c r="B159" s="36">
        <f t="shared" ca="1" si="24"/>
        <v>75.91050183885028</v>
      </c>
      <c r="C159" s="36">
        <f t="shared" ca="1" si="25"/>
        <v>89.554874795859376</v>
      </c>
      <c r="D159" s="36">
        <f t="shared" ca="1" si="26"/>
        <v>93.662859761614854</v>
      </c>
      <c r="E159" s="36">
        <f t="shared" ca="1" si="27"/>
        <v>75.031039184905524</v>
      </c>
      <c r="F159" s="37">
        <f t="shared" ca="1" si="28"/>
        <v>75.308343110728302</v>
      </c>
      <c r="G159">
        <f t="shared" si="29"/>
        <v>80</v>
      </c>
    </row>
    <row r="160" spans="1:7" ht="16" x14ac:dyDescent="0.35">
      <c r="A160" s="38">
        <f t="shared" si="30"/>
        <v>158</v>
      </c>
      <c r="B160" s="36">
        <f t="shared" ca="1" si="24"/>
        <v>76.318125450112873</v>
      </c>
      <c r="C160" s="36">
        <f t="shared" ca="1" si="25"/>
        <v>89.122247904498593</v>
      </c>
      <c r="D160" s="36">
        <f t="shared" ca="1" si="26"/>
        <v>94.091204099526593</v>
      </c>
      <c r="E160" s="36">
        <f t="shared" ca="1" si="27"/>
        <v>75.535147069031581</v>
      </c>
      <c r="F160" s="37">
        <f t="shared" ca="1" si="28"/>
        <v>76.36686258230533</v>
      </c>
      <c r="G160">
        <f t="shared" si="29"/>
        <v>80</v>
      </c>
    </row>
    <row r="161" spans="1:7" ht="16" x14ac:dyDescent="0.35">
      <c r="A161" s="38">
        <f t="shared" si="30"/>
        <v>159</v>
      </c>
      <c r="B161" s="36">
        <f t="shared" ca="1" si="24"/>
        <v>76.776997275702655</v>
      </c>
      <c r="C161" s="36">
        <f t="shared" ca="1" si="25"/>
        <v>89.712004025151316</v>
      </c>
      <c r="D161" s="36">
        <f t="shared" ca="1" si="26"/>
        <v>93.102479661498691</v>
      </c>
      <c r="E161" s="36">
        <f t="shared" ca="1" si="27"/>
        <v>75.243232896855005</v>
      </c>
      <c r="F161" s="37">
        <f t="shared" ca="1" si="28"/>
        <v>76.011039336414811</v>
      </c>
      <c r="G161">
        <f t="shared" si="29"/>
        <v>80</v>
      </c>
    </row>
    <row r="162" spans="1:7" ht="16" x14ac:dyDescent="0.35">
      <c r="A162" s="38">
        <f t="shared" si="30"/>
        <v>160</v>
      </c>
      <c r="B162" s="36">
        <f t="shared" ca="1" si="24"/>
        <v>76.721749547802645</v>
      </c>
      <c r="C162" s="36">
        <f t="shared" ca="1" si="25"/>
        <v>89.90264036506143</v>
      </c>
      <c r="D162" s="36">
        <f t="shared" ca="1" si="26"/>
        <v>92.642632972055566</v>
      </c>
      <c r="E162" s="36">
        <f t="shared" ca="1" si="27"/>
        <v>74.028771367354665</v>
      </c>
      <c r="F162" s="37">
        <f t="shared" ca="1" si="28"/>
        <v>75.194218596781752</v>
      </c>
      <c r="G162">
        <f t="shared" si="29"/>
        <v>80</v>
      </c>
    </row>
    <row r="163" spans="1:7" ht="16" x14ac:dyDescent="0.35">
      <c r="A163" s="38">
        <f t="shared" si="30"/>
        <v>161</v>
      </c>
      <c r="B163" s="36">
        <f t="shared" ref="B163:B194" ca="1" si="31">B162*EXP(($K$27-0.5*$K$28^2)*$K$26+$K$28*_xlfn.NORM.S.INV(RAND())*SQRT($K$26))</f>
        <v>75.408838343199704</v>
      </c>
      <c r="C163" s="36">
        <f t="shared" ref="C163:C194" ca="1" si="32">C162*EXP(($K$27-0.5*$K$28^2)*$K$26+$K$28*_xlfn.NORM.S.INV(RAND())*SQRT($K$26))</f>
        <v>89.01202020171155</v>
      </c>
      <c r="D163" s="36">
        <f t="shared" ref="D163:D194" ca="1" si="33">D162*EXP(($K$27-0.5*$K$28^2)*$K$26+$K$28*_xlfn.NORM.S.INV(RAND())*SQRT($K$26))</f>
        <v>91.434297407995359</v>
      </c>
      <c r="E163" s="36">
        <f t="shared" ref="E163:E194" ca="1" si="34">E162*EXP(($K$27-0.5*$K$28^2)*$K$26+$K$28*_xlfn.NORM.S.INV(RAND())*SQRT($K$26))</f>
        <v>72.402210242696043</v>
      </c>
      <c r="F163" s="37">
        <f t="shared" ref="F163:F194" ca="1" si="35">F162*EXP(($K$27-0.5*$K$28^2)*$K$26+$K$28*_xlfn.NORM.S.INV(RAND())*SQRT($K$26))</f>
        <v>74.779060672432223</v>
      </c>
      <c r="G163">
        <f t="shared" si="29"/>
        <v>80</v>
      </c>
    </row>
    <row r="164" spans="1:7" ht="16" x14ac:dyDescent="0.35">
      <c r="A164" s="38">
        <f t="shared" si="30"/>
        <v>162</v>
      </c>
      <c r="B164" s="36">
        <f t="shared" ca="1" si="31"/>
        <v>76.110679414321226</v>
      </c>
      <c r="C164" s="36">
        <f t="shared" ca="1" si="32"/>
        <v>89.663310816541596</v>
      </c>
      <c r="D164" s="36">
        <f t="shared" ca="1" si="33"/>
        <v>90.681578608007342</v>
      </c>
      <c r="E164" s="36">
        <f t="shared" ca="1" si="34"/>
        <v>72.79436365966788</v>
      </c>
      <c r="F164" s="37">
        <f t="shared" ca="1" si="35"/>
        <v>73.325331146413347</v>
      </c>
      <c r="G164">
        <f t="shared" si="29"/>
        <v>80</v>
      </c>
    </row>
    <row r="165" spans="1:7" ht="16" x14ac:dyDescent="0.35">
      <c r="A165" s="38">
        <f t="shared" si="30"/>
        <v>163</v>
      </c>
      <c r="B165" s="36">
        <f t="shared" ca="1" si="31"/>
        <v>76.699602034030221</v>
      </c>
      <c r="C165" s="36">
        <f t="shared" ca="1" si="32"/>
        <v>89.457255083617738</v>
      </c>
      <c r="D165" s="36">
        <f t="shared" ca="1" si="33"/>
        <v>91.18279250295025</v>
      </c>
      <c r="E165" s="36">
        <f t="shared" ca="1" si="34"/>
        <v>73.270548999373148</v>
      </c>
      <c r="F165" s="37">
        <f t="shared" ca="1" si="35"/>
        <v>73.749740247390577</v>
      </c>
      <c r="G165">
        <f t="shared" si="29"/>
        <v>80</v>
      </c>
    </row>
    <row r="166" spans="1:7" ht="16" x14ac:dyDescent="0.35">
      <c r="A166" s="38">
        <f t="shared" si="30"/>
        <v>164</v>
      </c>
      <c r="B166" s="36">
        <f t="shared" ca="1" si="31"/>
        <v>77.790786222174276</v>
      </c>
      <c r="C166" s="36">
        <f t="shared" ca="1" si="32"/>
        <v>89.572728148649716</v>
      </c>
      <c r="D166" s="36">
        <f t="shared" ca="1" si="33"/>
        <v>91.638179869373772</v>
      </c>
      <c r="E166" s="36">
        <f t="shared" ca="1" si="34"/>
        <v>73.100800338479573</v>
      </c>
      <c r="F166" s="37">
        <f t="shared" ca="1" si="35"/>
        <v>73.244582393054372</v>
      </c>
      <c r="G166">
        <f t="shared" si="29"/>
        <v>80</v>
      </c>
    </row>
    <row r="167" spans="1:7" ht="16" x14ac:dyDescent="0.35">
      <c r="A167" s="38">
        <f>A166+1</f>
        <v>165</v>
      </c>
      <c r="B167" s="36">
        <f t="shared" ca="1" si="31"/>
        <v>77.221638436577635</v>
      </c>
      <c r="C167" s="36">
        <f t="shared" ca="1" si="32"/>
        <v>90.732735680958015</v>
      </c>
      <c r="D167" s="36">
        <f t="shared" ca="1" si="33"/>
        <v>91.123068472682206</v>
      </c>
      <c r="E167" s="36">
        <f t="shared" ca="1" si="34"/>
        <v>74.57410343210482</v>
      </c>
      <c r="F167" s="37">
        <f t="shared" ca="1" si="35"/>
        <v>73.723388647337359</v>
      </c>
      <c r="G167">
        <f t="shared" si="29"/>
        <v>80</v>
      </c>
    </row>
    <row r="168" spans="1:7" ht="16" x14ac:dyDescent="0.35">
      <c r="A168" s="38">
        <f>A167+1</f>
        <v>166</v>
      </c>
      <c r="B168" s="36">
        <f t="shared" ca="1" si="31"/>
        <v>77.615986296017056</v>
      </c>
      <c r="C168" s="36">
        <f t="shared" ca="1" si="32"/>
        <v>90.062219232757386</v>
      </c>
      <c r="D168" s="36">
        <f t="shared" ca="1" si="33"/>
        <v>90.740187934016788</v>
      </c>
      <c r="E168" s="36">
        <f t="shared" ca="1" si="34"/>
        <v>75.652431379811262</v>
      </c>
      <c r="F168" s="37">
        <f t="shared" ca="1" si="35"/>
        <v>73.755376948032222</v>
      </c>
      <c r="G168">
        <f t="shared" si="29"/>
        <v>80</v>
      </c>
    </row>
    <row r="169" spans="1:7" ht="16" x14ac:dyDescent="0.35">
      <c r="A169" s="38">
        <f t="shared" ref="A169:A202" si="36">A168+1</f>
        <v>167</v>
      </c>
      <c r="B169" s="36">
        <f t="shared" ca="1" si="31"/>
        <v>77.851078387693022</v>
      </c>
      <c r="C169" s="36">
        <f t="shared" ca="1" si="32"/>
        <v>90.924411399212204</v>
      </c>
      <c r="D169" s="36">
        <f t="shared" ca="1" si="33"/>
        <v>91.565318818333637</v>
      </c>
      <c r="E169" s="36">
        <f t="shared" ca="1" si="34"/>
        <v>75.669582669954465</v>
      </c>
      <c r="F169" s="37">
        <f t="shared" ca="1" si="35"/>
        <v>74.103275881601689</v>
      </c>
      <c r="G169">
        <f t="shared" si="29"/>
        <v>80</v>
      </c>
    </row>
    <row r="170" spans="1:7" ht="16" x14ac:dyDescent="0.35">
      <c r="A170" s="38">
        <f t="shared" si="36"/>
        <v>168</v>
      </c>
      <c r="B170" s="36">
        <f t="shared" ca="1" si="31"/>
        <v>78.822186115629961</v>
      </c>
      <c r="C170" s="36">
        <f t="shared" ca="1" si="32"/>
        <v>90.547756201962727</v>
      </c>
      <c r="D170" s="36">
        <f t="shared" ca="1" si="33"/>
        <v>92.285017089180116</v>
      </c>
      <c r="E170" s="36">
        <f t="shared" ca="1" si="34"/>
        <v>76.933203177949579</v>
      </c>
      <c r="F170" s="37">
        <f t="shared" ca="1" si="35"/>
        <v>73.056754525861649</v>
      </c>
      <c r="G170">
        <f t="shared" si="29"/>
        <v>80</v>
      </c>
    </row>
    <row r="171" spans="1:7" ht="16" x14ac:dyDescent="0.35">
      <c r="A171" s="38">
        <f t="shared" si="36"/>
        <v>169</v>
      </c>
      <c r="B171" s="36">
        <f t="shared" ca="1" si="31"/>
        <v>78.747510478636045</v>
      </c>
      <c r="C171" s="36">
        <f t="shared" ca="1" si="32"/>
        <v>90.108646936474372</v>
      </c>
      <c r="D171" s="36">
        <f t="shared" ca="1" si="33"/>
        <v>92.798383779180114</v>
      </c>
      <c r="E171" s="36">
        <f t="shared" ca="1" si="34"/>
        <v>77.277532309992992</v>
      </c>
      <c r="F171" s="37">
        <f t="shared" ca="1" si="35"/>
        <v>74.136445532851283</v>
      </c>
      <c r="G171">
        <f t="shared" si="29"/>
        <v>80</v>
      </c>
    </row>
    <row r="172" spans="1:7" ht="16" x14ac:dyDescent="0.35">
      <c r="A172" s="38">
        <f t="shared" si="36"/>
        <v>170</v>
      </c>
      <c r="B172" s="36">
        <f t="shared" ca="1" si="31"/>
        <v>79.680359700316359</v>
      </c>
      <c r="C172" s="36">
        <f t="shared" ca="1" si="32"/>
        <v>90.658749919898128</v>
      </c>
      <c r="D172" s="36">
        <f t="shared" ca="1" si="33"/>
        <v>93.187641988745142</v>
      </c>
      <c r="E172" s="36">
        <f t="shared" ca="1" si="34"/>
        <v>76.469550928455163</v>
      </c>
      <c r="F172" s="37">
        <f t="shared" ca="1" si="35"/>
        <v>73.53510017310424</v>
      </c>
      <c r="G172">
        <f t="shared" si="29"/>
        <v>80</v>
      </c>
    </row>
    <row r="173" spans="1:7" ht="16" x14ac:dyDescent="0.35">
      <c r="A173" s="38">
        <f t="shared" si="36"/>
        <v>171</v>
      </c>
      <c r="B173" s="36">
        <f t="shared" ca="1" si="31"/>
        <v>78.228844790091188</v>
      </c>
      <c r="C173" s="36">
        <f t="shared" ca="1" si="32"/>
        <v>90.917492917445628</v>
      </c>
      <c r="D173" s="36">
        <f t="shared" ca="1" si="33"/>
        <v>91.41380410231443</v>
      </c>
      <c r="E173" s="36">
        <f t="shared" ca="1" si="34"/>
        <v>76.535063686620219</v>
      </c>
      <c r="F173" s="37">
        <f t="shared" ca="1" si="35"/>
        <v>74.46127642689973</v>
      </c>
      <c r="G173">
        <f t="shared" si="29"/>
        <v>80</v>
      </c>
    </row>
    <row r="174" spans="1:7" ht="16" x14ac:dyDescent="0.35">
      <c r="A174" s="38">
        <f t="shared" si="36"/>
        <v>172</v>
      </c>
      <c r="B174" s="36">
        <f t="shared" ca="1" si="31"/>
        <v>78.173569627355747</v>
      </c>
      <c r="C174" s="36">
        <f t="shared" ca="1" si="32"/>
        <v>91.828535725788129</v>
      </c>
      <c r="D174" s="36">
        <f t="shared" ca="1" si="33"/>
        <v>90.904988634616444</v>
      </c>
      <c r="E174" s="36">
        <f t="shared" ca="1" si="34"/>
        <v>76.768494987272945</v>
      </c>
      <c r="F174" s="37">
        <f t="shared" ca="1" si="35"/>
        <v>74.445721497608233</v>
      </c>
      <c r="G174">
        <f t="shared" si="29"/>
        <v>80</v>
      </c>
    </row>
    <row r="175" spans="1:7" ht="16" x14ac:dyDescent="0.35">
      <c r="A175" s="38">
        <f t="shared" si="36"/>
        <v>173</v>
      </c>
      <c r="B175" s="36">
        <f t="shared" ca="1" si="31"/>
        <v>78.144375500619248</v>
      </c>
      <c r="C175" s="36">
        <f t="shared" ca="1" si="32"/>
        <v>91.225193181726695</v>
      </c>
      <c r="D175" s="36">
        <f t="shared" ca="1" si="33"/>
        <v>91.450704952608248</v>
      </c>
      <c r="E175" s="36">
        <f t="shared" ca="1" si="34"/>
        <v>75.6572964720595</v>
      </c>
      <c r="F175" s="37">
        <f t="shared" ca="1" si="35"/>
        <v>73.81504990021962</v>
      </c>
      <c r="G175">
        <f t="shared" si="29"/>
        <v>80</v>
      </c>
    </row>
    <row r="176" spans="1:7" ht="16" x14ac:dyDescent="0.35">
      <c r="A176" s="38">
        <f t="shared" si="36"/>
        <v>174</v>
      </c>
      <c r="B176" s="36">
        <f t="shared" ca="1" si="31"/>
        <v>78.084330593597812</v>
      </c>
      <c r="C176" s="36">
        <f t="shared" ca="1" si="32"/>
        <v>92.694287235635613</v>
      </c>
      <c r="D176" s="36">
        <f t="shared" ca="1" si="33"/>
        <v>91.387334179334772</v>
      </c>
      <c r="E176" s="36">
        <f t="shared" ca="1" si="34"/>
        <v>75.844803326018862</v>
      </c>
      <c r="F176" s="37">
        <f t="shared" ca="1" si="35"/>
        <v>72.978078716347383</v>
      </c>
      <c r="G176">
        <f t="shared" si="29"/>
        <v>80</v>
      </c>
    </row>
    <row r="177" spans="1:7" ht="16" x14ac:dyDescent="0.35">
      <c r="A177" s="38">
        <f t="shared" si="36"/>
        <v>175</v>
      </c>
      <c r="B177" s="36">
        <f t="shared" ca="1" si="31"/>
        <v>76.536748946407712</v>
      </c>
      <c r="C177" s="36">
        <f t="shared" ca="1" si="32"/>
        <v>93.525435317416708</v>
      </c>
      <c r="D177" s="36">
        <f t="shared" ca="1" si="33"/>
        <v>91.294291780656906</v>
      </c>
      <c r="E177" s="36">
        <f t="shared" ca="1" si="34"/>
        <v>75.370148961037572</v>
      </c>
      <c r="F177" s="37">
        <f t="shared" ca="1" si="35"/>
        <v>73.847817928346714</v>
      </c>
      <c r="G177">
        <f t="shared" si="29"/>
        <v>80</v>
      </c>
    </row>
    <row r="178" spans="1:7" ht="16" x14ac:dyDescent="0.35">
      <c r="A178" s="38">
        <f t="shared" si="36"/>
        <v>176</v>
      </c>
      <c r="B178" s="36">
        <f t="shared" ca="1" si="31"/>
        <v>75.99203290453687</v>
      </c>
      <c r="C178" s="36">
        <f t="shared" ca="1" si="32"/>
        <v>93.181001855522027</v>
      </c>
      <c r="D178" s="36">
        <f t="shared" ca="1" si="33"/>
        <v>91.260783936881083</v>
      </c>
      <c r="E178" s="36">
        <f t="shared" ca="1" si="34"/>
        <v>74.953846719810628</v>
      </c>
      <c r="F178" s="37">
        <f t="shared" ca="1" si="35"/>
        <v>74.255469402326426</v>
      </c>
      <c r="G178">
        <f t="shared" si="29"/>
        <v>80</v>
      </c>
    </row>
    <row r="179" spans="1:7" ht="16" x14ac:dyDescent="0.35">
      <c r="A179" s="38">
        <f t="shared" si="36"/>
        <v>177</v>
      </c>
      <c r="B179" s="36">
        <f t="shared" ca="1" si="31"/>
        <v>76.376565849373193</v>
      </c>
      <c r="C179" s="36">
        <f t="shared" ca="1" si="32"/>
        <v>93.643375476734619</v>
      </c>
      <c r="D179" s="36">
        <f t="shared" ca="1" si="33"/>
        <v>91.920699553773872</v>
      </c>
      <c r="E179" s="36">
        <f t="shared" ca="1" si="34"/>
        <v>74.651354534972754</v>
      </c>
      <c r="F179" s="37">
        <f t="shared" ca="1" si="35"/>
        <v>73.799496903748206</v>
      </c>
      <c r="G179">
        <f t="shared" si="29"/>
        <v>80</v>
      </c>
    </row>
    <row r="180" spans="1:7" ht="16" x14ac:dyDescent="0.35">
      <c r="A180" s="38">
        <f t="shared" si="36"/>
        <v>178</v>
      </c>
      <c r="B180" s="36">
        <f t="shared" ca="1" si="31"/>
        <v>76.413083163513832</v>
      </c>
      <c r="C180" s="36">
        <f t="shared" ca="1" si="32"/>
        <v>93.683429685018211</v>
      </c>
      <c r="D180" s="36">
        <f t="shared" ca="1" si="33"/>
        <v>91.968402615212611</v>
      </c>
      <c r="E180" s="36">
        <f t="shared" ca="1" si="34"/>
        <v>74.645013289204144</v>
      </c>
      <c r="F180" s="37">
        <f t="shared" ca="1" si="35"/>
        <v>73.387933970118254</v>
      </c>
      <c r="G180">
        <f t="shared" si="29"/>
        <v>80</v>
      </c>
    </row>
    <row r="181" spans="1:7" ht="16" x14ac:dyDescent="0.35">
      <c r="A181" s="38">
        <f t="shared" si="36"/>
        <v>179</v>
      </c>
      <c r="B181" s="36">
        <f t="shared" ca="1" si="31"/>
        <v>77.051820791426792</v>
      </c>
      <c r="C181" s="36">
        <f t="shared" ca="1" si="32"/>
        <v>93.552195865744025</v>
      </c>
      <c r="D181" s="36">
        <f t="shared" ca="1" si="33"/>
        <v>93.108623063101064</v>
      </c>
      <c r="E181" s="36">
        <f t="shared" ca="1" si="34"/>
        <v>75.02527319664317</v>
      </c>
      <c r="F181" s="37">
        <f t="shared" ca="1" si="35"/>
        <v>74.098300397551313</v>
      </c>
      <c r="G181">
        <f t="shared" si="29"/>
        <v>80</v>
      </c>
    </row>
    <row r="182" spans="1:7" ht="16" x14ac:dyDescent="0.35">
      <c r="A182" s="38">
        <f t="shared" si="36"/>
        <v>180</v>
      </c>
      <c r="B182" s="36">
        <f t="shared" ca="1" si="31"/>
        <v>77.599073643299633</v>
      </c>
      <c r="C182" s="36">
        <f t="shared" ca="1" si="32"/>
        <v>92.948318043577217</v>
      </c>
      <c r="D182" s="36">
        <f t="shared" ca="1" si="33"/>
        <v>93.57089650075288</v>
      </c>
      <c r="E182" s="36">
        <f t="shared" ca="1" si="34"/>
        <v>73.700499136145979</v>
      </c>
      <c r="F182" s="37">
        <f t="shared" ca="1" si="35"/>
        <v>74.554148798315794</v>
      </c>
      <c r="G182">
        <f t="shared" si="29"/>
        <v>80</v>
      </c>
    </row>
    <row r="183" spans="1:7" ht="16" x14ac:dyDescent="0.35">
      <c r="A183" s="38">
        <f t="shared" si="36"/>
        <v>181</v>
      </c>
      <c r="B183" s="36">
        <f t="shared" ca="1" si="31"/>
        <v>78.852668915970469</v>
      </c>
      <c r="C183" s="36">
        <f t="shared" ca="1" si="32"/>
        <v>92.314201563274054</v>
      </c>
      <c r="D183" s="36">
        <f t="shared" ca="1" si="33"/>
        <v>93.216469278984562</v>
      </c>
      <c r="E183" s="36">
        <f t="shared" ca="1" si="34"/>
        <v>72.775478426424783</v>
      </c>
      <c r="F183" s="37">
        <f t="shared" ca="1" si="35"/>
        <v>75.83211069749764</v>
      </c>
      <c r="G183">
        <f t="shared" si="29"/>
        <v>80</v>
      </c>
    </row>
    <row r="184" spans="1:7" ht="16" x14ac:dyDescent="0.35">
      <c r="A184" s="38">
        <f t="shared" si="36"/>
        <v>182</v>
      </c>
      <c r="B184" s="36">
        <f t="shared" ca="1" si="31"/>
        <v>79.496634963175225</v>
      </c>
      <c r="C184" s="36">
        <f t="shared" ca="1" si="32"/>
        <v>92.057352099496612</v>
      </c>
      <c r="D184" s="36">
        <f t="shared" ca="1" si="33"/>
        <v>93.859404187254881</v>
      </c>
      <c r="E184" s="36">
        <f t="shared" ca="1" si="34"/>
        <v>73.405618660661148</v>
      </c>
      <c r="F184" s="37">
        <f t="shared" ca="1" si="35"/>
        <v>76.263965748446239</v>
      </c>
      <c r="G184">
        <f t="shared" si="29"/>
        <v>80</v>
      </c>
    </row>
    <row r="185" spans="1:7" ht="16" x14ac:dyDescent="0.35">
      <c r="A185" s="38">
        <f t="shared" si="36"/>
        <v>183</v>
      </c>
      <c r="B185" s="36">
        <f t="shared" ca="1" si="31"/>
        <v>78.912424842422737</v>
      </c>
      <c r="C185" s="36">
        <f t="shared" ca="1" si="32"/>
        <v>91.93580467264151</v>
      </c>
      <c r="D185" s="36">
        <f t="shared" ca="1" si="33"/>
        <v>93.38718098770147</v>
      </c>
      <c r="E185" s="36">
        <f t="shared" ca="1" si="34"/>
        <v>72.662200926551606</v>
      </c>
      <c r="F185" s="37">
        <f t="shared" ca="1" si="35"/>
        <v>77.911405659871477</v>
      </c>
      <c r="G185">
        <f t="shared" si="29"/>
        <v>80</v>
      </c>
    </row>
    <row r="186" spans="1:7" ht="16" x14ac:dyDescent="0.35">
      <c r="A186" s="38">
        <f t="shared" si="36"/>
        <v>184</v>
      </c>
      <c r="B186" s="36">
        <f t="shared" ca="1" si="31"/>
        <v>77.799869446006596</v>
      </c>
      <c r="C186" s="36">
        <f t="shared" ca="1" si="32"/>
        <v>91.212574362270288</v>
      </c>
      <c r="D186" s="36">
        <f t="shared" ca="1" si="33"/>
        <v>93.173074943805531</v>
      </c>
      <c r="E186" s="36">
        <f t="shared" ca="1" si="34"/>
        <v>72.51273621357231</v>
      </c>
      <c r="F186" s="37">
        <f t="shared" ca="1" si="35"/>
        <v>77.396739684056755</v>
      </c>
      <c r="G186">
        <f t="shared" si="29"/>
        <v>80</v>
      </c>
    </row>
    <row r="187" spans="1:7" ht="16" x14ac:dyDescent="0.35">
      <c r="A187" s="38">
        <f t="shared" si="36"/>
        <v>185</v>
      </c>
      <c r="B187" s="36">
        <f t="shared" ca="1" si="31"/>
        <v>79.093081437910286</v>
      </c>
      <c r="C187" s="36">
        <f t="shared" ca="1" si="32"/>
        <v>89.600307295414083</v>
      </c>
      <c r="D187" s="36">
        <f t="shared" ca="1" si="33"/>
        <v>92.717534030045655</v>
      </c>
      <c r="E187" s="36">
        <f t="shared" ca="1" si="34"/>
        <v>73.05602529396505</v>
      </c>
      <c r="F187" s="37">
        <f t="shared" ca="1" si="35"/>
        <v>77.386984795155925</v>
      </c>
      <c r="G187">
        <f t="shared" si="29"/>
        <v>80</v>
      </c>
    </row>
    <row r="188" spans="1:7" ht="16" x14ac:dyDescent="0.35">
      <c r="A188" s="38">
        <f t="shared" si="36"/>
        <v>186</v>
      </c>
      <c r="B188" s="36">
        <f t="shared" ca="1" si="31"/>
        <v>79.287322017526094</v>
      </c>
      <c r="C188" s="36">
        <f t="shared" ca="1" si="32"/>
        <v>89.226742007597139</v>
      </c>
      <c r="D188" s="36">
        <f t="shared" ca="1" si="33"/>
        <v>91.127539394512965</v>
      </c>
      <c r="E188" s="36">
        <f t="shared" ca="1" si="34"/>
        <v>73.406696110848358</v>
      </c>
      <c r="F188" s="37">
        <f t="shared" ca="1" si="35"/>
        <v>77.669690313076273</v>
      </c>
      <c r="G188">
        <f t="shared" si="29"/>
        <v>80</v>
      </c>
    </row>
    <row r="189" spans="1:7" ht="16" x14ac:dyDescent="0.35">
      <c r="A189" s="38">
        <f t="shared" si="36"/>
        <v>187</v>
      </c>
      <c r="B189" s="36">
        <f t="shared" ca="1" si="31"/>
        <v>78.962695903342038</v>
      </c>
      <c r="C189" s="36">
        <f t="shared" ca="1" si="32"/>
        <v>88.419277779194502</v>
      </c>
      <c r="D189" s="36">
        <f t="shared" ca="1" si="33"/>
        <v>90.876523892360609</v>
      </c>
      <c r="E189" s="36">
        <f t="shared" ca="1" si="34"/>
        <v>73.584899179720679</v>
      </c>
      <c r="F189" s="37">
        <f t="shared" ca="1" si="35"/>
        <v>77.975135984066398</v>
      </c>
      <c r="G189">
        <f t="shared" si="29"/>
        <v>80</v>
      </c>
    </row>
    <row r="190" spans="1:7" ht="16" x14ac:dyDescent="0.35">
      <c r="A190" s="38">
        <f t="shared" si="36"/>
        <v>188</v>
      </c>
      <c r="B190" s="36">
        <f t="shared" ca="1" si="31"/>
        <v>79.353280545310014</v>
      </c>
      <c r="C190" s="36">
        <f t="shared" ca="1" si="32"/>
        <v>88.711582111737982</v>
      </c>
      <c r="D190" s="36">
        <f t="shared" ca="1" si="33"/>
        <v>90.797732838223325</v>
      </c>
      <c r="E190" s="36">
        <f t="shared" ca="1" si="34"/>
        <v>74.557197316531898</v>
      </c>
      <c r="F190" s="37">
        <f t="shared" ca="1" si="35"/>
        <v>78.052778549670975</v>
      </c>
      <c r="G190">
        <f t="shared" si="29"/>
        <v>80</v>
      </c>
    </row>
    <row r="191" spans="1:7" ht="16" x14ac:dyDescent="0.35">
      <c r="A191" s="38">
        <f t="shared" si="36"/>
        <v>189</v>
      </c>
      <c r="B191" s="36">
        <f t="shared" ca="1" si="31"/>
        <v>79.197582920465919</v>
      </c>
      <c r="C191" s="36">
        <f t="shared" ca="1" si="32"/>
        <v>88.814686908354773</v>
      </c>
      <c r="D191" s="36">
        <f t="shared" ca="1" si="33"/>
        <v>92.04524157112715</v>
      </c>
      <c r="E191" s="36">
        <f t="shared" ca="1" si="34"/>
        <v>74.786458493904149</v>
      </c>
      <c r="F191" s="37">
        <f t="shared" ca="1" si="35"/>
        <v>78.433403179149465</v>
      </c>
      <c r="G191">
        <f t="shared" si="29"/>
        <v>80</v>
      </c>
    </row>
    <row r="192" spans="1:7" ht="16" x14ac:dyDescent="0.35">
      <c r="A192" s="38">
        <f t="shared" si="36"/>
        <v>190</v>
      </c>
      <c r="B192" s="36">
        <f t="shared" ca="1" si="31"/>
        <v>80.281903311780766</v>
      </c>
      <c r="C192" s="36">
        <f t="shared" ca="1" si="32"/>
        <v>89.211530277802979</v>
      </c>
      <c r="D192" s="36">
        <f t="shared" ca="1" si="33"/>
        <v>91.705265939809379</v>
      </c>
      <c r="E192" s="36">
        <f t="shared" ca="1" si="34"/>
        <v>74.989828989920682</v>
      </c>
      <c r="F192" s="37">
        <f t="shared" ca="1" si="35"/>
        <v>78.653863772468341</v>
      </c>
      <c r="G192">
        <f t="shared" si="29"/>
        <v>80</v>
      </c>
    </row>
    <row r="193" spans="1:8" ht="16" x14ac:dyDescent="0.35">
      <c r="A193" s="38">
        <f t="shared" si="36"/>
        <v>191</v>
      </c>
      <c r="B193" s="36">
        <f t="shared" ca="1" si="31"/>
        <v>79.957263596580688</v>
      </c>
      <c r="C193" s="36">
        <f t="shared" ca="1" si="32"/>
        <v>88.724726035475754</v>
      </c>
      <c r="D193" s="36">
        <f t="shared" ca="1" si="33"/>
        <v>89.623142263839</v>
      </c>
      <c r="E193" s="36">
        <f t="shared" ca="1" si="34"/>
        <v>74.912819072903247</v>
      </c>
      <c r="F193" s="37">
        <f t="shared" ca="1" si="35"/>
        <v>78.721953129418679</v>
      </c>
      <c r="G193">
        <f t="shared" si="29"/>
        <v>80</v>
      </c>
    </row>
    <row r="194" spans="1:8" ht="16" x14ac:dyDescent="0.35">
      <c r="A194" s="38">
        <f t="shared" si="36"/>
        <v>192</v>
      </c>
      <c r="B194" s="36">
        <f t="shared" ca="1" si="31"/>
        <v>79.69216275184337</v>
      </c>
      <c r="C194" s="36">
        <f t="shared" ca="1" si="32"/>
        <v>89.337950821176292</v>
      </c>
      <c r="D194" s="36">
        <f t="shared" ca="1" si="33"/>
        <v>89.287608325562815</v>
      </c>
      <c r="E194" s="36">
        <f t="shared" ca="1" si="34"/>
        <v>74.036835402556747</v>
      </c>
      <c r="F194" s="37">
        <f t="shared" ca="1" si="35"/>
        <v>78.341931101580414</v>
      </c>
      <c r="G194">
        <f t="shared" si="29"/>
        <v>80</v>
      </c>
    </row>
    <row r="195" spans="1:8" ht="16" x14ac:dyDescent="0.35">
      <c r="A195" s="38">
        <f t="shared" si="36"/>
        <v>193</v>
      </c>
      <c r="B195" s="36">
        <f t="shared" ref="B195:B202" ca="1" si="37">B194*EXP(($K$27-0.5*$K$28^2)*$K$26+$K$28*_xlfn.NORM.S.INV(RAND())*SQRT($K$26))</f>
        <v>78.391770634035524</v>
      </c>
      <c r="C195" s="36">
        <f t="shared" ref="C195:C202" ca="1" si="38">C194*EXP(($K$27-0.5*$K$28^2)*$K$26+$K$28*_xlfn.NORM.S.INV(RAND())*SQRT($K$26))</f>
        <v>89.335823726928666</v>
      </c>
      <c r="D195" s="36">
        <f t="shared" ref="D195:D202" ca="1" si="39">D194*EXP(($K$27-0.5*$K$28^2)*$K$26+$K$28*_xlfn.NORM.S.INV(RAND())*SQRT($K$26))</f>
        <v>90.052139293961304</v>
      </c>
      <c r="E195" s="36">
        <f t="shared" ref="E195:E202" ca="1" si="40">E194*EXP(($K$27-0.5*$K$28^2)*$K$26+$K$28*_xlfn.NORM.S.INV(RAND())*SQRT($K$26))</f>
        <v>73.958167956343999</v>
      </c>
      <c r="F195" s="37">
        <f t="shared" ref="F195:F202" ca="1" si="41">F194*EXP(($K$27-0.5*$K$28^2)*$K$26+$K$28*_xlfn.NORM.S.INV(RAND())*SQRT($K$26))</f>
        <v>79.061576217671913</v>
      </c>
      <c r="G195">
        <f t="shared" ref="G195:G202" si="42">$K$22</f>
        <v>80</v>
      </c>
    </row>
    <row r="196" spans="1:8" ht="16" x14ac:dyDescent="0.35">
      <c r="A196" s="38">
        <f t="shared" si="36"/>
        <v>194</v>
      </c>
      <c r="B196" s="36">
        <f t="shared" ca="1" si="37"/>
        <v>78.325312447160158</v>
      </c>
      <c r="C196" s="36">
        <f t="shared" ca="1" si="38"/>
        <v>89.685437211478728</v>
      </c>
      <c r="D196" s="36">
        <f t="shared" ca="1" si="39"/>
        <v>89.485608007968608</v>
      </c>
      <c r="E196" s="36">
        <f t="shared" ca="1" si="40"/>
        <v>73.847635344565376</v>
      </c>
      <c r="F196" s="37">
        <f t="shared" ca="1" si="41"/>
        <v>78.244712713510438</v>
      </c>
      <c r="G196">
        <f t="shared" si="42"/>
        <v>80</v>
      </c>
    </row>
    <row r="197" spans="1:8" ht="16" x14ac:dyDescent="0.35">
      <c r="A197" s="38">
        <f t="shared" si="36"/>
        <v>195</v>
      </c>
      <c r="B197" s="36">
        <f t="shared" ca="1" si="37"/>
        <v>78.240274655184535</v>
      </c>
      <c r="C197" s="36">
        <f t="shared" ca="1" si="38"/>
        <v>89.52663747126384</v>
      </c>
      <c r="D197" s="36">
        <f t="shared" ca="1" si="39"/>
        <v>88.810741607897839</v>
      </c>
      <c r="E197" s="36">
        <f t="shared" ca="1" si="40"/>
        <v>73.967101802488799</v>
      </c>
      <c r="F197" s="37">
        <f t="shared" ca="1" si="41"/>
        <v>78.983717772511497</v>
      </c>
      <c r="G197">
        <f t="shared" si="42"/>
        <v>80</v>
      </c>
    </row>
    <row r="198" spans="1:8" ht="16" x14ac:dyDescent="0.35">
      <c r="A198" s="38">
        <f t="shared" si="36"/>
        <v>196</v>
      </c>
      <c r="B198" s="36">
        <f t="shared" ca="1" si="37"/>
        <v>79.029557068953693</v>
      </c>
      <c r="C198" s="36">
        <f t="shared" ca="1" si="38"/>
        <v>89.493446104921162</v>
      </c>
      <c r="D198" s="36">
        <f t="shared" ca="1" si="39"/>
        <v>88.370418775243309</v>
      </c>
      <c r="E198" s="36">
        <f t="shared" ca="1" si="40"/>
        <v>75.532418299658318</v>
      </c>
      <c r="F198" s="37">
        <f t="shared" ca="1" si="41"/>
        <v>78.546158940774959</v>
      </c>
      <c r="G198">
        <f t="shared" si="42"/>
        <v>80</v>
      </c>
    </row>
    <row r="199" spans="1:8" ht="16" x14ac:dyDescent="0.35">
      <c r="A199" s="38">
        <f t="shared" si="36"/>
        <v>197</v>
      </c>
      <c r="B199" s="36">
        <f t="shared" ca="1" si="37"/>
        <v>79.004479585617389</v>
      </c>
      <c r="C199" s="36">
        <f t="shared" ca="1" si="38"/>
        <v>90.201217604661451</v>
      </c>
      <c r="D199" s="36">
        <f t="shared" ca="1" si="39"/>
        <v>87.979766908278805</v>
      </c>
      <c r="E199" s="36">
        <f t="shared" ca="1" si="40"/>
        <v>75.28790542187545</v>
      </c>
      <c r="F199" s="37">
        <f t="shared" ca="1" si="41"/>
        <v>78.357868014729817</v>
      </c>
      <c r="G199">
        <f t="shared" si="42"/>
        <v>80</v>
      </c>
    </row>
    <row r="200" spans="1:8" ht="16" x14ac:dyDescent="0.35">
      <c r="A200" s="38">
        <f t="shared" si="36"/>
        <v>198</v>
      </c>
      <c r="B200" s="36">
        <f t="shared" ca="1" si="37"/>
        <v>78.767923547579684</v>
      </c>
      <c r="C200" s="36">
        <f t="shared" ca="1" si="38"/>
        <v>90.549254926768825</v>
      </c>
      <c r="D200" s="36">
        <f t="shared" ca="1" si="39"/>
        <v>89.116105561722478</v>
      </c>
      <c r="E200" s="36">
        <f t="shared" ca="1" si="40"/>
        <v>75.211351037938627</v>
      </c>
      <c r="F200" s="37">
        <f t="shared" ca="1" si="41"/>
        <v>79.226677129542082</v>
      </c>
      <c r="G200">
        <f t="shared" si="42"/>
        <v>80</v>
      </c>
    </row>
    <row r="201" spans="1:8" ht="16.5" thickBot="1" x14ac:dyDescent="0.4">
      <c r="A201" s="38">
        <f t="shared" si="36"/>
        <v>199</v>
      </c>
      <c r="B201" s="36">
        <f t="shared" ca="1" si="37"/>
        <v>77.746857765525931</v>
      </c>
      <c r="C201" s="36">
        <f t="shared" ca="1" si="38"/>
        <v>88.651712379208647</v>
      </c>
      <c r="D201" s="36">
        <f t="shared" ca="1" si="39"/>
        <v>90.432754454562541</v>
      </c>
      <c r="E201" s="36">
        <f t="shared" ca="1" si="40"/>
        <v>75.410648803203941</v>
      </c>
      <c r="F201" s="37">
        <f t="shared" ca="1" si="41"/>
        <v>79.19729689956884</v>
      </c>
      <c r="G201">
        <f t="shared" si="42"/>
        <v>80</v>
      </c>
    </row>
    <row r="202" spans="1:8" ht="16.5" thickBot="1" x14ac:dyDescent="0.4">
      <c r="A202" s="39">
        <f t="shared" si="36"/>
        <v>200</v>
      </c>
      <c r="B202" s="40">
        <f t="shared" ca="1" si="37"/>
        <v>78.770398249887933</v>
      </c>
      <c r="C202" s="40">
        <f t="shared" ca="1" si="38"/>
        <v>89.063230615921398</v>
      </c>
      <c r="D202" s="40">
        <f t="shared" ca="1" si="39"/>
        <v>89.672637596743726</v>
      </c>
      <c r="E202" s="40">
        <f t="shared" ca="1" si="40"/>
        <v>75.852727029090644</v>
      </c>
      <c r="F202" s="41">
        <f t="shared" ca="1" si="41"/>
        <v>78.838621010160182</v>
      </c>
      <c r="G202">
        <f t="shared" si="42"/>
        <v>80</v>
      </c>
      <c r="H202" t="s">
        <v>86</v>
      </c>
    </row>
    <row r="204" spans="1:8" ht="15" thickBot="1" x14ac:dyDescent="0.4"/>
    <row r="205" spans="1:8" ht="15" thickBot="1" x14ac:dyDescent="0.4">
      <c r="A205" s="42" t="s">
        <v>87</v>
      </c>
      <c r="B205" s="48">
        <f ca="1">EXP(-2%*0.5)*MAX(B202-$K$22,0)</f>
        <v>0</v>
      </c>
      <c r="C205" s="48">
        <f t="shared" ref="C205:F205" ca="1" si="43">EXP(-2%*0.5)*MAX(C202-$K$22,0)</f>
        <v>8.9730499645233515</v>
      </c>
      <c r="D205" s="48">
        <f t="shared" ca="1" si="43"/>
        <v>9.5763932445720794</v>
      </c>
      <c r="E205" s="48">
        <f t="shared" ca="1" si="43"/>
        <v>0</v>
      </c>
      <c r="F205" s="48">
        <f t="shared" ca="1" si="43"/>
        <v>0</v>
      </c>
      <c r="H205" s="43" t="s">
        <v>88</v>
      </c>
    </row>
    <row r="206" spans="1:8" ht="15" thickBot="1" x14ac:dyDescent="0.4">
      <c r="A206"/>
      <c r="B206"/>
      <c r="C206" s="44"/>
      <c r="D206"/>
      <c r="E206"/>
      <c r="F206"/>
    </row>
    <row r="207" spans="1:8" ht="15" thickBot="1" x14ac:dyDescent="0.4">
      <c r="A207" s="45" t="s">
        <v>99</v>
      </c>
      <c r="B207" s="46"/>
      <c r="C207" s="47">
        <f ca="1">AVERAGE(B205:F205)</f>
        <v>3.7098886418190857</v>
      </c>
      <c r="D207"/>
      <c r="E207"/>
      <c r="F207"/>
    </row>
    <row r="208" spans="1:8" x14ac:dyDescent="0.35">
      <c r="A208"/>
      <c r="B208"/>
      <c r="C208"/>
      <c r="D208"/>
      <c r="E208"/>
      <c r="F208"/>
    </row>
    <row r="211" spans="1:6" ht="15" thickBot="1" x14ac:dyDescent="0.4"/>
    <row r="212" spans="1:6" ht="15" thickBot="1" x14ac:dyDescent="0.4">
      <c r="A212" s="42" t="s">
        <v>87</v>
      </c>
      <c r="B212" s="48">
        <f ca="1">EXP(-2%*0.5)*MAX($K$22-B202,0)</f>
        <v>1.2173670082761383</v>
      </c>
      <c r="C212" s="48">
        <f t="shared" ref="C212:F212" ca="1" si="44">EXP(-2%*0.5)*MAX($K$22-C202,0)</f>
        <v>0</v>
      </c>
      <c r="D212" s="48">
        <f t="shared" ca="1" si="44"/>
        <v>0</v>
      </c>
      <c r="E212" s="48">
        <f t="shared" ca="1" si="44"/>
        <v>4.1060069153612258</v>
      </c>
      <c r="F212" s="48">
        <f t="shared" ca="1" si="44"/>
        <v>1.1498230758106887</v>
      </c>
    </row>
    <row r="213" spans="1:6" ht="15" thickBot="1" x14ac:dyDescent="0.4">
      <c r="A213"/>
      <c r="B213"/>
      <c r="C213" s="44"/>
      <c r="D213"/>
      <c r="E213"/>
      <c r="F213"/>
    </row>
    <row r="214" spans="1:6" ht="15" thickBot="1" x14ac:dyDescent="0.4">
      <c r="A214" s="45" t="s">
        <v>100</v>
      </c>
      <c r="B214" s="46"/>
      <c r="C214" s="47">
        <f ca="1">AVERAGE(B212:F212)</f>
        <v>1.2946393998896106</v>
      </c>
      <c r="D214"/>
      <c r="E214"/>
      <c r="F214"/>
    </row>
    <row r="215" spans="1:6" x14ac:dyDescent="0.35">
      <c r="A215"/>
      <c r="B215"/>
      <c r="C215"/>
      <c r="D215"/>
      <c r="E215"/>
      <c r="F215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DSMT4" shapeId="4097" r:id="rId3">
          <objectPr defaultSize="0" autoPict="0" r:id="rId4">
            <anchor moveWithCells="1">
              <from>
                <xdr:col>8</xdr:col>
                <xdr:colOff>203200</xdr:colOff>
                <xdr:row>7</xdr:row>
                <xdr:rowOff>0</xdr:rowOff>
              </from>
              <to>
                <xdr:col>12</xdr:col>
                <xdr:colOff>247650</xdr:colOff>
                <xdr:row>14</xdr:row>
                <xdr:rowOff>88900</xdr:rowOff>
              </to>
            </anchor>
          </objectPr>
        </oleObject>
      </mc:Choice>
      <mc:Fallback>
        <oleObject progId="Equation.DSMT4" shapeId="4097" r:id="rId3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0489D-8189-4D2F-837B-7B2159D344E4}">
  <sheetPr codeName="Feuil5"/>
  <dimension ref="C2:E5"/>
  <sheetViews>
    <sheetView workbookViewId="0">
      <selection activeCell="D21" sqref="D21"/>
    </sheetView>
  </sheetViews>
  <sheetFormatPr baseColWidth="10" defaultRowHeight="14.5" x14ac:dyDescent="0.35"/>
  <cols>
    <col min="3" max="3" width="12.26953125" bestFit="1" customWidth="1"/>
    <col min="4" max="4" width="21" customWidth="1"/>
    <col min="5" max="5" width="18.1796875" customWidth="1"/>
  </cols>
  <sheetData>
    <row r="2" spans="3:5" x14ac:dyDescent="0.35">
      <c r="C2" t="s">
        <v>93</v>
      </c>
      <c r="D2" t="s">
        <v>94</v>
      </c>
      <c r="E2" t="s">
        <v>95</v>
      </c>
    </row>
    <row r="3" spans="3:5" x14ac:dyDescent="0.35">
      <c r="C3" t="s">
        <v>96</v>
      </c>
      <c r="D3" s="50">
        <f>'B&amp;S'!K23</f>
        <v>4.4496787841491559</v>
      </c>
      <c r="E3" s="50">
        <f>'B&amp;S'!K25</f>
        <v>3.6536654840826039</v>
      </c>
    </row>
    <row r="4" spans="3:5" x14ac:dyDescent="0.35">
      <c r="C4" t="s">
        <v>97</v>
      </c>
      <c r="D4" s="50">
        <f ca="1">'Monte Carlo'!C207</f>
        <v>3.7098886418190857</v>
      </c>
      <c r="E4" s="50">
        <f ca="1">'Monte Carlo'!C214</f>
        <v>1.2946393998896106</v>
      </c>
    </row>
    <row r="5" spans="3:5" x14ac:dyDescent="0.35">
      <c r="C5" t="s">
        <v>98</v>
      </c>
      <c r="D5" s="50">
        <f ca="1">D4-D3</f>
        <v>-0.73979014233007012</v>
      </c>
      <c r="E5" s="50">
        <f ca="1">E3-E4</f>
        <v>2.3590260841929931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Definition</vt:lpstr>
      <vt:lpstr>B&amp;S</vt:lpstr>
      <vt:lpstr>Monte Carlo</vt:lpstr>
      <vt:lpstr>RESULTATS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MA46953</dc:creator>
  <cp:lastModifiedBy>MA46953</cp:lastModifiedBy>
  <dcterms:created xsi:type="dcterms:W3CDTF">2026-04-07T19:38:11Z</dcterms:created>
  <dcterms:modified xsi:type="dcterms:W3CDTF">2026-04-13T20:06:16Z</dcterms:modified>
</cp:coreProperties>
</file>