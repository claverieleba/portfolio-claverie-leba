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drawings/drawing1.xml" ContentType="application/vnd.openxmlformats-officedocument.drawing+xml"/>
  <Override PartName="/xl/tables/table10.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clave\Desktop\MON PORTFOLIO\"/>
    </mc:Choice>
  </mc:AlternateContent>
  <xr:revisionPtr revIDLastSave="0" documentId="8_{96CA5098-043C-4848-91F7-E93178657585}" xr6:coauthVersionLast="47" xr6:coauthVersionMax="47" xr10:uidLastSave="{00000000-0000-0000-0000-000000000000}"/>
  <bookViews>
    <workbookView xWindow="-110" yWindow="-110" windowWidth="22780" windowHeight="14540" firstSheet="1" activeTab="1" xr2:uid="{00000000-000D-0000-FFFF-FFFF00000000}"/>
  </bookViews>
  <sheets>
    <sheet name="Contexte" sheetId="1" r:id="rId1"/>
    <sheet name="Obligation 1 Amort. Constant" sheetId="6" r:id="rId2"/>
    <sheet name="Obligation 2 Amort. In fine" sheetId="7" r:id="rId3"/>
    <sheet name="Obligation 3 Amort. Zero coupon" sheetId="8" r:id="rId4"/>
    <sheet name="Récapitulatif." sheetId="9"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1" i="9" l="1"/>
  <c r="D10" i="9"/>
  <c r="C11" i="9"/>
  <c r="C10" i="9"/>
  <c r="B11" i="9"/>
  <c r="B10" i="9"/>
  <c r="D18" i="8"/>
  <c r="E18" i="8" s="1"/>
  <c r="F18" i="8" s="1"/>
  <c r="G18" i="8" s="1"/>
  <c r="D17" i="8"/>
  <c r="E17" i="8" s="1"/>
  <c r="F17" i="8" s="1"/>
  <c r="G17" i="8" s="1"/>
  <c r="D16" i="8"/>
  <c r="E16" i="8" s="1"/>
  <c r="F16" i="8" s="1"/>
  <c r="G16" i="8" s="1"/>
  <c r="D15" i="8"/>
  <c r="E15" i="8" s="1"/>
  <c r="F15" i="8" s="1"/>
  <c r="G15" i="8" s="1"/>
  <c r="D14" i="8"/>
  <c r="E14" i="8" s="1"/>
  <c r="F14" i="8" s="1"/>
  <c r="D15" i="7"/>
  <c r="D16" i="7"/>
  <c r="D17" i="7"/>
  <c r="D18" i="7"/>
  <c r="D14" i="7"/>
  <c r="E14" i="7" s="1"/>
  <c r="F14" i="7" s="1"/>
  <c r="E17" i="7"/>
  <c r="F17" i="7" s="1"/>
  <c r="E16" i="7"/>
  <c r="F16" i="7" s="1"/>
  <c r="G23" i="6"/>
  <c r="G24" i="6" s="1"/>
  <c r="G15" i="6"/>
  <c r="G20" i="6" s="1"/>
  <c r="G16" i="6"/>
  <c r="G17" i="6"/>
  <c r="G18" i="6"/>
  <c r="G19" i="6"/>
  <c r="F15" i="6"/>
  <c r="F20" i="6" s="1"/>
  <c r="F16" i="6"/>
  <c r="F17" i="6"/>
  <c r="F18" i="6"/>
  <c r="F19" i="6"/>
  <c r="E16" i="6"/>
  <c r="E17" i="6"/>
  <c r="E18" i="6"/>
  <c r="E19" i="6"/>
  <c r="E15" i="6"/>
  <c r="D16" i="6"/>
  <c r="D17" i="6"/>
  <c r="D18" i="6"/>
  <c r="D19" i="6"/>
  <c r="D15" i="6"/>
  <c r="C16" i="6"/>
  <c r="C17" i="6"/>
  <c r="C18" i="6"/>
  <c r="C19" i="6"/>
  <c r="C15" i="6"/>
  <c r="F19" i="8" l="1"/>
  <c r="G14" i="8"/>
  <c r="G19" i="8" s="1"/>
  <c r="G17" i="7"/>
  <c r="G16" i="7"/>
  <c r="E15" i="7"/>
  <c r="E18" i="7"/>
  <c r="F18" i="7" s="1"/>
  <c r="G14" i="7"/>
  <c r="G22" i="8" l="1"/>
  <c r="G23" i="8" s="1"/>
  <c r="G15" i="7"/>
  <c r="F15" i="7"/>
  <c r="F19" i="7" s="1"/>
  <c r="G18" i="7"/>
  <c r="G19" i="7" s="1"/>
  <c r="G22" i="7" s="1"/>
  <c r="G23" i="7" s="1"/>
</calcChain>
</file>

<file path=xl/sharedStrings.xml><?xml version="1.0" encoding="utf-8"?>
<sst xmlns="http://schemas.openxmlformats.org/spreadsheetml/2006/main" count="110" uniqueCount="60">
  <si>
    <t>Calcul du taux actuariel · Duration de Macaulay · Sensibilité  |  3 structures obligataires comparées</t>
  </si>
  <si>
    <t>1.  CONTEXTE DU PROJET</t>
  </si>
  <si>
    <t>2.  LES TROIS OBLIGATIONS ANALYSÉES</t>
  </si>
  <si>
    <t>Obligation 1 — Amortissement constant</t>
  </si>
  <si>
    <t>Taux facial : 7 %  |  Prix d'achat : 0,97  |  Maturité : 5 ans
Remboursement par séries égales (20 % du capital par an)
Taux actuariel : 8,19 %  |  Duration : 2,73  |  Sensibilité : 2,52</t>
  </si>
  <si>
    <t>Obligation 2 — In fine au pair</t>
  </si>
  <si>
    <t>Taux facial : 13 %  |  Prix d'achat : 1,20  |  Maturité : 5 ans
Remboursement du capital en totalité à l'échéance
Taux actuariel : 7,99 %  |  Duration : 4,07  |  Sensibilité : 3,77</t>
  </si>
  <si>
    <t>Obligation 3 — Zéro-coupon</t>
  </si>
  <si>
    <t>3.  CONCEPTS CLÉS MOBILISÉS</t>
  </si>
  <si>
    <t>Taux actuariel</t>
  </si>
  <si>
    <t>Taux d'actualisation qui égalise la valeur actuelle des flux futurs (coupons + remboursement) au prix d'achat de l'obligation. Il représente le rendement réel de l'investisseur.</t>
  </si>
  <si>
    <t>Duration de Macaulay</t>
  </si>
  <si>
    <t>Durée de vie moyenne pondérée des flux, exprimée en années. Plus la duration est élevée, plus l'obligation est sensible aux variations de taux. Propriété clé : la duration d'un zéro-coupon est toujours égale à sa maturité.</t>
  </si>
  <si>
    <t>Sensibilité</t>
  </si>
  <si>
    <t>Mesure la variation en % du prix de l'obligation pour une hausse de taux de 1 %. Sensibilité = − Duration / (1 + taux actuariel). Une sensibilité élevée indique un risque de taux plus important.</t>
  </si>
  <si>
    <t>4.  ENSEIGNEMENTS COMPARATIFS</t>
  </si>
  <si>
    <t>• L'obligation à amortissement constant (Oblig. 1) présente la duration la plus faible (2,73) car les flux sont répartis régulièrement dans le temps → risque de taux limité.
• L'obligation in fine (Oblig. 2) concentre le remboursement à l'échéance → duration plus élevée (4,07).
• Le zéro-coupon (Oblig. 3) affiche la sensibilité maximale (4,62) : sans coupon, l'investisseur attend 5 ans pour récupérer son capital → exposition maximale au risque de taux.</t>
  </si>
  <si>
    <t>5.  STRUCTURE DU FICHIER</t>
  </si>
  <si>
    <t>Onglet  Récapitulatif</t>
  </si>
  <si>
    <t>Synthèse des 3 obligations : hypothèses, taux actuariel, duration et sensibilité côte à côte</t>
  </si>
  <si>
    <t>Onglet  Obligation 1</t>
  </si>
  <si>
    <t>Tableau d'amortissement complet, actualisation des flux, calcul de la duration et sensibilité</t>
  </si>
  <si>
    <t>Onglet  Obligation 2</t>
  </si>
  <si>
    <t>Tableau des flux in fine, actualisation, duration et sensibilité</t>
  </si>
  <si>
    <t>Onglet  Obligation 3</t>
  </si>
  <si>
    <t>Zéro-coupon : flux unique en année 5, duration = maturité, sensibilité maximale</t>
  </si>
  <si>
    <t>Prix d'achat</t>
  </si>
  <si>
    <t>Maturité</t>
  </si>
  <si>
    <t>5 ans</t>
  </si>
  <si>
    <t>Taux facial</t>
  </si>
  <si>
    <t>Type de remboursement</t>
  </si>
  <si>
    <t>TABLEAU DES FLUX ET ACTUALISATION</t>
  </si>
  <si>
    <t>Année</t>
  </si>
  <si>
    <t>Restant dû</t>
  </si>
  <si>
    <t>Amortissement</t>
  </si>
  <si>
    <t>Intérêts</t>
  </si>
  <si>
    <t>Annuité</t>
  </si>
  <si>
    <t>Flux actualisé</t>
  </si>
  <si>
    <t>Durée pondérée par flux actu</t>
  </si>
  <si>
    <t>TOTAL</t>
  </si>
  <si>
    <t>Obligation 1
Amortissement constant</t>
  </si>
  <si>
    <t>Obligation 2
In fine</t>
  </si>
  <si>
    <t>Obligation 3
Zéro-coupon</t>
  </si>
  <si>
    <t>Séries égales</t>
  </si>
  <si>
    <t>In fine au pair</t>
  </si>
  <si>
    <t>Duration (années)</t>
  </si>
  <si>
    <t>Risque de taux</t>
  </si>
  <si>
    <t>⬇ Faible</t>
  </si>
  <si>
    <t>⬆ Moyen</t>
  </si>
  <si>
    <t>⬆⬆ Élevé</t>
  </si>
  <si>
    <t xml:space="preserve"> PRICING ET ANALYSE DE RISQUE OBLIGATAIRE</t>
  </si>
  <si>
    <t>Ce projet s'inscrit dans le cadre d'un cours de Finance de Marché . L'objectif est de maîtriser le pricing d'obligations et l'analyse de leur risque de taux, en modélisant trois structures obligataires distinctes et en calculant pour chacune le taux actuariel, la duration de Macaulay et la sensibilité.</t>
  </si>
  <si>
    <t>In Fine au pair</t>
  </si>
  <si>
    <t>Taux facial : 0 %  |  Prix d'achat : 0,67  |  Maturité : 5 ans
Aucun coupon versé , remboursement unique à l'échéance
Taux actuariel : 8,34 %  |  Duration : 5 (= maturité) |  Sensibilité : 4,62</t>
  </si>
  <si>
    <t>HYPOTHESES</t>
  </si>
  <si>
    <t>Duration</t>
  </si>
  <si>
    <t xml:space="preserve"> OBLIGATION 1: AMORTISSEMENT CONSTANT</t>
  </si>
  <si>
    <t xml:space="preserve"> OBLIGATION 2 : AMORTISSEMENT IN FINE</t>
  </si>
  <si>
    <t xml:space="preserve"> OBLIGATION 3 : AMORTISSEMENT ZERO COUPON</t>
  </si>
  <si>
    <t xml:space="preserve"> RÉCAPITULATIF :COMPARAISON DES 3 OBLIGATIONS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</si>
</sst>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
  </numFmts>
  <fonts count="8" x14ac:knownFonts="1">
    <font>
      <sz val="11"/>
      <color theme="1"/>
      <name val="Calibri"/>
      <family val="2"/>
      <scheme val="minor"/>
    </font>
    <font>
      <b/>
      <sz val="13"/>
      <color rgb="FFFFFFFF"/>
      <name val="Arial"/>
      <family val="2"/>
    </font>
    <font>
      <i/>
      <sz val="10"/>
      <color rgb="FFFFFFFF"/>
      <name val="Arial"/>
      <family val="2"/>
    </font>
    <font>
      <b/>
      <sz val="11"/>
      <color rgb="FFFFFFFF"/>
      <name val="Arial"/>
      <family val="2"/>
    </font>
    <font>
      <sz val="10"/>
      <color rgb="FF404040"/>
      <name val="Arial"/>
      <family val="2"/>
    </font>
    <font>
      <b/>
      <sz val="10"/>
      <color rgb="FFFFFFFF"/>
      <name val="Arial"/>
      <family val="2"/>
    </font>
    <font>
      <b/>
      <sz val="11"/>
      <color theme="1"/>
      <name val="Calibri"/>
      <family val="2"/>
      <scheme val="minor"/>
    </font>
    <font>
      <b/>
      <sz val="11"/>
      <name val="Calibri"/>
      <family val="2"/>
      <scheme val="minor"/>
    </font>
  </fonts>
  <fills count="9">
    <fill>
      <patternFill patternType="none"/>
    </fill>
    <fill>
      <patternFill patternType="gray125"/>
    </fill>
    <fill>
      <patternFill patternType="solid">
        <fgColor rgb="FFFFFFFF"/>
      </patternFill>
    </fill>
    <fill>
      <patternFill patternType="solid">
        <fgColor theme="9" tint="-0.249977111117893"/>
        <bgColor indexed="64"/>
      </patternFill>
    </fill>
    <fill>
      <patternFill patternType="solid">
        <fgColor theme="0" tint="-4.9989318521683403E-2"/>
        <bgColor indexed="64"/>
      </patternFill>
    </fill>
    <fill>
      <patternFill patternType="solid">
        <fgColor theme="0" tint="-0.499984740745262"/>
        <bgColor indexed="64"/>
      </patternFill>
    </fill>
    <fill>
      <patternFill patternType="solid">
        <fgColor theme="8" tint="-0.249977111117893"/>
        <bgColor indexed="64"/>
      </patternFill>
    </fill>
    <fill>
      <patternFill patternType="solid">
        <fgColor theme="4" tint="-0.249977111117893"/>
        <bgColor indexed="64"/>
      </patternFill>
    </fill>
    <fill>
      <patternFill patternType="solid">
        <fgColor theme="7" tint="-0.249977111117893"/>
        <bgColor indexed="64"/>
      </patternFill>
    </fill>
  </fills>
  <borders count="3">
    <border>
      <left/>
      <right/>
      <top/>
      <bottom/>
      <diagonal/>
    </border>
    <border>
      <left style="thin">
        <color rgb="FFBDD7EE"/>
      </left>
      <right style="thin">
        <color rgb="FFBDD7EE"/>
      </right>
      <top style="thin">
        <color rgb="FFBDD7EE"/>
      </top>
      <bottom style="thin">
        <color rgb="FFBDD7EE"/>
      </bottom>
      <diagonal/>
    </border>
    <border>
      <left/>
      <right style="thin">
        <color rgb="FFBDD7EE"/>
      </right>
      <top style="thin">
        <color rgb="FFBDD7EE"/>
      </top>
      <bottom style="thin">
        <color rgb="FFBDD7EE"/>
      </bottom>
      <diagonal/>
    </border>
  </borders>
  <cellStyleXfs count="1">
    <xf numFmtId="0" fontId="0" fillId="0" borderId="0"/>
  </cellStyleXfs>
  <cellXfs count="26">
    <xf numFmtId="0" fontId="0" fillId="0" borderId="0" xfId="0"/>
    <xf numFmtId="0" fontId="4"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0" fillId="0" borderId="2" xfId="0" applyBorder="1"/>
    <xf numFmtId="0" fontId="1" fillId="3" borderId="0" xfId="0" applyFont="1" applyFill="1" applyAlignment="1">
      <alignment horizontal="center" vertical="center"/>
    </xf>
    <xf numFmtId="0" fontId="4" fillId="4" borderId="1" xfId="0" applyFont="1" applyFill="1" applyBorder="1" applyAlignment="1">
      <alignment horizontal="left" vertical="center" wrapText="1"/>
    </xf>
    <xf numFmtId="0" fontId="4" fillId="4" borderId="1" xfId="0" applyFont="1" applyFill="1" applyBorder="1" applyAlignment="1">
      <alignment horizontal="left" vertical="center" wrapText="1"/>
    </xf>
    <xf numFmtId="0" fontId="0" fillId="4" borderId="2" xfId="0" applyFill="1" applyBorder="1"/>
    <xf numFmtId="0" fontId="2" fillId="5" borderId="0" xfId="0" applyFont="1" applyFill="1" applyAlignment="1">
      <alignment horizontal="center" vertical="center"/>
    </xf>
    <xf numFmtId="0" fontId="0" fillId="5" borderId="0" xfId="0" applyFill="1"/>
    <xf numFmtId="0" fontId="3" fillId="5" borderId="0" xfId="0" applyFont="1" applyFill="1" applyAlignment="1">
      <alignment horizontal="left" vertical="center"/>
    </xf>
    <xf numFmtId="0" fontId="5" fillId="5" borderId="1" xfId="0" applyFont="1" applyFill="1" applyBorder="1" applyAlignment="1">
      <alignment horizontal="left" vertical="center"/>
    </xf>
    <xf numFmtId="0" fontId="1" fillId="5" borderId="0" xfId="0" applyFont="1" applyFill="1" applyAlignment="1">
      <alignment horizontal="center" vertical="center"/>
    </xf>
    <xf numFmtId="0" fontId="1" fillId="6" borderId="0" xfId="0" applyFont="1" applyFill="1" applyAlignment="1">
      <alignment horizontal="center" vertical="center"/>
    </xf>
    <xf numFmtId="9" fontId="0" fillId="0" borderId="0" xfId="0" applyNumberFormat="1"/>
    <xf numFmtId="0" fontId="6" fillId="0" borderId="0" xfId="0" applyFont="1"/>
    <xf numFmtId="9" fontId="6" fillId="0" borderId="0" xfId="0" applyNumberFormat="1" applyFont="1"/>
    <xf numFmtId="10" fontId="0" fillId="0" borderId="0" xfId="0" applyNumberFormat="1"/>
    <xf numFmtId="10" fontId="6" fillId="0" borderId="0" xfId="0" applyNumberFormat="1" applyFont="1"/>
    <xf numFmtId="0" fontId="6" fillId="0" borderId="0" xfId="0" applyFont="1" applyAlignment="1">
      <alignment horizontal="center"/>
    </xf>
    <xf numFmtId="164" fontId="0" fillId="0" borderId="0" xfId="0" applyNumberFormat="1"/>
    <xf numFmtId="0" fontId="7" fillId="0" borderId="0" xfId="0" applyFont="1"/>
    <xf numFmtId="0" fontId="6" fillId="0" borderId="0" xfId="0" applyFont="1" applyAlignment="1"/>
    <xf numFmtId="0" fontId="1" fillId="7" borderId="0" xfId="0" applyFont="1" applyFill="1" applyAlignment="1">
      <alignment vertical="center"/>
    </xf>
    <xf numFmtId="164" fontId="6" fillId="0" borderId="0" xfId="0" applyNumberFormat="1" applyFont="1"/>
    <xf numFmtId="0" fontId="1" fillId="8" borderId="0" xfId="0" applyFont="1" applyFill="1" applyAlignment="1">
      <alignment vertical="center"/>
    </xf>
  </cellXfs>
  <cellStyles count="1">
    <cellStyle name="Normal" xfId="0" builtinId="0"/>
  </cellStyles>
  <dxfs count="42">
    <dxf>
      <font>
        <b/>
        <strike val="0"/>
        <outline val="0"/>
        <shadow val="0"/>
        <u val="none"/>
        <vertAlign val="baseline"/>
        <sz val="11"/>
        <color auto="1"/>
        <name val="Calibri"/>
        <family val="2"/>
        <scheme val="minor"/>
      </font>
      <numFmt numFmtId="0" formatCode="General"/>
    </dxf>
    <dxf>
      <font>
        <b/>
        <strike val="0"/>
        <outline val="0"/>
        <shadow val="0"/>
        <u val="none"/>
        <vertAlign val="baseline"/>
        <sz val="11"/>
        <color auto="1"/>
        <name val="Calibri"/>
        <family val="2"/>
        <scheme val="minor"/>
      </font>
    </dxf>
    <dxf>
      <font>
        <b/>
        <strike val="0"/>
        <outline val="0"/>
        <shadow val="0"/>
        <u val="none"/>
        <vertAlign val="baseline"/>
        <sz val="11"/>
        <color auto="1"/>
        <name val="Calibri"/>
        <family val="2"/>
        <scheme val="minor"/>
      </font>
    </dxf>
    <dxf>
      <font>
        <b/>
        <strike val="0"/>
        <outline val="0"/>
        <shadow val="0"/>
        <u val="none"/>
        <vertAlign val="baseline"/>
        <sz val="11"/>
        <color auto="1"/>
        <name val="Calibri"/>
        <family val="2"/>
        <scheme val="minor"/>
      </font>
    </dxf>
    <dxf>
      <numFmt numFmtId="164" formatCode="#,##0.000000"/>
    </dxf>
    <dxf>
      <numFmt numFmtId="164" formatCode="#,##0.000000"/>
    </dxf>
    <dxf>
      <numFmt numFmtId="164" formatCode="#,##0.000000"/>
    </dxf>
    <dxf>
      <numFmt numFmtId="164" formatCode="#,##0.000000"/>
    </dxf>
    <dxf>
      <numFmt numFmtId="164" formatCode="#,##0.000000"/>
    </dxf>
    <dxf>
      <numFmt numFmtId="164" formatCode="#,##0.000000"/>
    </dxf>
    <dxf>
      <font>
        <b/>
      </font>
    </dxf>
    <dxf>
      <font>
        <b/>
      </font>
    </dxf>
    <dxf>
      <font>
        <b/>
      </font>
    </dxf>
    <dxf>
      <font>
        <b/>
      </font>
    </dxf>
    <dxf>
      <numFmt numFmtId="164" formatCode="#,##0.000000"/>
    </dxf>
    <dxf>
      <font>
        <b/>
        <strike val="0"/>
        <outline val="0"/>
        <shadow val="0"/>
        <u val="none"/>
        <vertAlign val="baseline"/>
        <sz val="11"/>
        <color auto="1"/>
        <name val="Calibri"/>
        <family val="2"/>
        <scheme val="minor"/>
      </font>
      <numFmt numFmtId="0" formatCode="General"/>
    </dxf>
    <dxf>
      <font>
        <b/>
        <strike val="0"/>
        <outline val="0"/>
        <shadow val="0"/>
        <u val="none"/>
        <vertAlign val="baseline"/>
        <sz val="11"/>
        <color auto="1"/>
        <name val="Calibri"/>
        <family val="2"/>
        <scheme val="minor"/>
      </font>
    </dxf>
    <dxf>
      <font>
        <b/>
        <strike val="0"/>
        <outline val="0"/>
        <shadow val="0"/>
        <u val="none"/>
        <vertAlign val="baseline"/>
        <sz val="11"/>
        <color auto="1"/>
        <name val="Calibri"/>
        <family val="2"/>
        <scheme val="minor"/>
      </font>
    </dxf>
    <dxf>
      <font>
        <b/>
        <strike val="0"/>
        <outline val="0"/>
        <shadow val="0"/>
        <u val="none"/>
        <vertAlign val="baseline"/>
        <sz val="11"/>
        <color auto="1"/>
        <name val="Calibri"/>
        <family val="2"/>
        <scheme val="minor"/>
      </font>
    </dxf>
    <dxf>
      <numFmt numFmtId="164" formatCode="#,##0.000000"/>
    </dxf>
    <dxf>
      <numFmt numFmtId="164" formatCode="#,##0.000000"/>
    </dxf>
    <dxf>
      <numFmt numFmtId="164" formatCode="#,##0.000000"/>
    </dxf>
    <dxf>
      <numFmt numFmtId="164" formatCode="#,##0.000000"/>
    </dxf>
    <dxf>
      <numFmt numFmtId="164" formatCode="#,##0.000000"/>
    </dxf>
    <dxf>
      <font>
        <b/>
      </font>
    </dxf>
    <dxf>
      <font>
        <b/>
      </font>
    </dxf>
    <dxf>
      <font>
        <b/>
      </font>
    </dxf>
    <dxf>
      <font>
        <b/>
      </font>
    </dxf>
    <dxf>
      <font>
        <b/>
        <strike val="0"/>
        <outline val="0"/>
        <shadow val="0"/>
        <u val="none"/>
        <vertAlign val="baseline"/>
        <sz val="11"/>
        <color auto="1"/>
        <name val="Calibri"/>
        <family val="2"/>
        <scheme val="minor"/>
      </font>
    </dxf>
    <dxf>
      <font>
        <b/>
        <strike val="0"/>
        <outline val="0"/>
        <shadow val="0"/>
        <u val="none"/>
        <vertAlign val="baseline"/>
        <sz val="11"/>
        <color auto="1"/>
        <name val="Calibri"/>
        <family val="2"/>
        <scheme val="minor"/>
      </font>
    </dxf>
    <dxf>
      <font>
        <b/>
        <strike val="0"/>
        <outline val="0"/>
        <shadow val="0"/>
        <u val="none"/>
        <vertAlign val="baseline"/>
        <sz val="11"/>
        <color auto="1"/>
        <name val="Calibri"/>
        <family val="2"/>
        <scheme val="minor"/>
      </font>
      <numFmt numFmtId="0" formatCode="General"/>
    </dxf>
    <dxf>
      <font>
        <b/>
        <strike val="0"/>
        <outline val="0"/>
        <shadow val="0"/>
        <u val="none"/>
        <vertAlign val="baseline"/>
        <sz val="11"/>
        <color auto="1"/>
        <name val="Calibri"/>
        <family val="2"/>
        <scheme val="minor"/>
      </font>
    </dxf>
    <dxf>
      <numFmt numFmtId="164" formatCode="#,##0.000000"/>
    </dxf>
    <dxf>
      <numFmt numFmtId="164" formatCode="#,##0.000000"/>
    </dxf>
    <dxf>
      <numFmt numFmtId="164" formatCode="#,##0.000000"/>
    </dxf>
    <dxf>
      <numFmt numFmtId="164" formatCode="#,##0.000000"/>
    </dxf>
    <dxf>
      <numFmt numFmtId="164" formatCode="#,##0.000000"/>
    </dxf>
    <dxf>
      <numFmt numFmtId="164" formatCode="#,##0.000000"/>
    </dxf>
    <dxf>
      <font>
        <b/>
      </font>
    </dxf>
    <dxf>
      <font>
        <b/>
      </font>
    </dxf>
    <dxf>
      <font>
        <b/>
      </font>
    </dxf>
    <dxf>
      <font>
        <b/>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0</xdr:col>
      <xdr:colOff>57150</xdr:colOff>
      <xdr:row>15</xdr:row>
      <xdr:rowOff>19050</xdr:rowOff>
    </xdr:from>
    <xdr:to>
      <xdr:col>4</xdr:col>
      <xdr:colOff>0</xdr:colOff>
      <xdr:row>18</xdr:row>
      <xdr:rowOff>101600</xdr:rowOff>
    </xdr:to>
    <xdr:sp macro="" textlink="">
      <xdr:nvSpPr>
        <xdr:cNvPr id="2" name="ZoneTexte 1">
          <a:extLst>
            <a:ext uri="{FF2B5EF4-FFF2-40B4-BE49-F238E27FC236}">
              <a16:creationId xmlns:a16="http://schemas.microsoft.com/office/drawing/2014/main" id="{391B4AF7-A993-FFC4-1F2F-C5B4DBB33830}"/>
            </a:ext>
          </a:extLst>
        </xdr:cNvPr>
        <xdr:cNvSpPr txBox="1"/>
      </xdr:nvSpPr>
      <xdr:spPr>
        <a:xfrm>
          <a:off x="57150" y="2806700"/>
          <a:ext cx="6483350" cy="635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t>Plus la duration est élevée, plus l'obligation est sensible aux hausses de taux. Le zéro-coupon présente le risque de taux maximal (sensibilité = 4,62), tandis que l'amortissement constant offre la meilleure protection (sensibilité = 2,52).</a:t>
          </a: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2C58FBD-6CBA-498A-AA52-39F0F2633AB5}" name="Tableau4" displayName="Tableau4" ref="A5:B9" headerRowCount="0" totalsRowShown="0" headerRowDxfId="39" dataDxfId="38">
  <tableColumns count="2">
    <tableColumn id="1" xr3:uid="{02397036-53E1-42D7-9059-63532980BB25}" name="HYPOTHESES" dataDxfId="41"/>
    <tableColumn id="2" xr3:uid="{0B43D602-963A-4CB6-8B6F-DFEE8014274C}" name="Colonne1" dataDxfId="40"/>
  </tableColumns>
  <tableStyleInfo name="TableStyleDark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1333C75-B300-439A-BE21-99F021FDBC47}" name="Tableau5" displayName="Tableau5" ref="A14:G20" totalsRowShown="0">
  <autoFilter ref="A14:G20" xr:uid="{31333C75-B300-439A-BE21-99F021FDBC47}"/>
  <tableColumns count="7">
    <tableColumn id="1" xr3:uid="{D6BF6A79-A408-4CC2-9564-2A8A94252C3E}" name="Année"/>
    <tableColumn id="2" xr3:uid="{80267EDE-75E6-4993-9967-2806E450C26E}" name="Restant dû" dataDxfId="37"/>
    <tableColumn id="3" xr3:uid="{6F69FEE0-433B-4E01-A96C-38C0B8102386}" name="Amortissement" dataDxfId="36"/>
    <tableColumn id="4" xr3:uid="{00BBA3F4-48F6-46B4-882E-315BD08A688F}" name="Intérêts" dataDxfId="35"/>
    <tableColumn id="5" xr3:uid="{3DA95E99-C9FC-4D2D-8409-D30EEE168671}" name="Annuité" dataDxfId="34"/>
    <tableColumn id="6" xr3:uid="{DDB52708-AF85-4262-8F7E-DA7C32B4F41D}" name="Flux actualisé" dataDxfId="33">
      <calculatedColumnFormula>E15/(1+$B$9)^A15</calculatedColumnFormula>
    </tableColumn>
    <tableColumn id="7" xr3:uid="{8DFD1966-B3D0-49C1-901F-5AE93091A18E}" name="Durée pondérée par flux actu" dataDxfId="32">
      <calculatedColumnFormula>F15*A15</calculatedColumnFormula>
    </tableColumn>
  </tableColumns>
  <tableStyleInfo name="TableStyleMedium2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ACED3068-A4B5-4D0A-AA48-C99D18095864}" name="Tableau6" displayName="Tableau6" ref="F23:G24" headerRowCount="0" totalsRowShown="0" headerRowDxfId="29" dataDxfId="28">
  <tableColumns count="2">
    <tableColumn id="1" xr3:uid="{48A236EB-7666-4D92-B5E2-FC03136ABDED}" name="Colonne1" dataDxfId="31"/>
    <tableColumn id="2" xr3:uid="{F34CBA76-3832-4975-9A70-EAA23D711D4E}" name="Colonne2" dataDxfId="30">
      <calculatedColumnFormula>G20/F20</calculatedColumnFormula>
    </tableColumn>
  </tableColumns>
  <tableStyleInfo name="TableStyleDark6"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4F4FC081-BA43-4454-B303-02BDDA7C9EC4}" name="Tableau48" displayName="Tableau48" ref="A4:B8" headerRowCount="0" totalsRowShown="0" headerRowDxfId="27" dataDxfId="26">
  <tableColumns count="2">
    <tableColumn id="1" xr3:uid="{CCC6EF2D-BA05-4F3D-9AA7-99DF11F23862}" name="HYPOTHESES" dataDxfId="25"/>
    <tableColumn id="2" xr3:uid="{D4DFD8A3-2272-4660-8D89-44B1152A5EF0}" name="Colonne1" dataDxfId="24"/>
  </tableColumns>
  <tableStyleInfo name="TableStyleDark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244B042C-DA43-4BA3-91E9-12BD1EE0FFFE}" name="Tableau511" displayName="Tableau511" ref="A13:G19" totalsRowShown="0">
  <autoFilter ref="A13:G19" xr:uid="{244B042C-DA43-4BA3-91E9-12BD1EE0FFFE}"/>
  <tableColumns count="7">
    <tableColumn id="1" xr3:uid="{2B782244-8706-45CA-BBF5-BC26F4D482A6}" name="Année"/>
    <tableColumn id="2" xr3:uid="{58AC83D8-93FA-44CF-943D-48B64DAC659A}" name="Restant dû" dataDxfId="23"/>
    <tableColumn id="3" xr3:uid="{6FE4BA75-A866-4351-A491-617D6D3C9B9D}" name="Amortissement" dataDxfId="22"/>
    <tableColumn id="4" xr3:uid="{336B76AB-C145-45D2-8C2C-20F0A1AFB505}" name="Intérêts" dataDxfId="21"/>
    <tableColumn id="5" xr3:uid="{58F18ABF-FCB2-44D1-8931-38F49E56DD37}" name="Annuité" dataDxfId="20"/>
    <tableColumn id="6" xr3:uid="{3B4593A9-2013-4ADD-B346-E66202C81785}" name="Flux actualisé" dataDxfId="14">
      <calculatedColumnFormula>E14/(1+$B$8)^A14</calculatedColumnFormula>
    </tableColumn>
    <tableColumn id="7" xr3:uid="{BB3C2D30-780E-4266-937A-D5540FD9E5AE}" name="Durée pondérée par flux actu" dataDxfId="19">
      <calculatedColumnFormula>F14*A14</calculatedColumnFormula>
    </tableColum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C9149777-826C-41B0-B140-42D2DC28D01B}" name="Tableau612" displayName="Tableau612" ref="F22:G23" headerRowCount="0" totalsRowShown="0" headerRowDxfId="18" dataDxfId="17">
  <tableColumns count="2">
    <tableColumn id="1" xr3:uid="{13A1119B-1EAA-4EF6-8401-F0D6927F335A}" name="Colonne1" dataDxfId="16"/>
    <tableColumn id="2" xr3:uid="{451B6250-EF79-4BE9-81CD-E747893F0BAD}" name="Colonne2" dataDxfId="15">
      <calculatedColumnFormula>G19/F19</calculatedColumnFormula>
    </tableColumn>
  </tableColumns>
  <tableStyleInfo name="TableStyleDark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236A2956-D6BB-4A83-9646-E141415D8458}" name="Tableau4813" displayName="Tableau4813" ref="A4:B8" headerRowCount="0" totalsRowShown="0" headerRowDxfId="13" dataDxfId="12">
  <tableColumns count="2">
    <tableColumn id="1" xr3:uid="{2C368C0B-4B33-4E16-BF86-49AD50F02C87}" name="HYPOTHESES" dataDxfId="11"/>
    <tableColumn id="2" xr3:uid="{26A5DA6B-8047-4720-A621-BD4027EA5EE1}" name="Colonne1" dataDxfId="10"/>
  </tableColumns>
  <tableStyleInfo name="TableStyleMedium26"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B60E3C0E-10D3-4122-9CA6-ED50AB079D04}" name="Tableau51114" displayName="Tableau51114" ref="A13:G19" totalsRowShown="0">
  <autoFilter ref="A13:G19" xr:uid="{B60E3C0E-10D3-4122-9CA6-ED50AB079D04}"/>
  <tableColumns count="7">
    <tableColumn id="1" xr3:uid="{48DE809D-0873-4365-B0A2-62A6F4B947C2}" name="Année"/>
    <tableColumn id="2" xr3:uid="{55468482-124E-4695-B0F4-71644D45DA2F}" name="Restant dû" dataDxfId="9"/>
    <tableColumn id="3" xr3:uid="{C4B1F9CF-CCFE-4517-BAEC-EA4CF6AA97A0}" name="Amortissement" dataDxfId="8"/>
    <tableColumn id="4" xr3:uid="{AD58EE12-BEEE-45C0-8952-7241CFD04C5F}" name="Intérêts" dataDxfId="7"/>
    <tableColumn id="5" xr3:uid="{2C67209B-0896-4BAA-98E4-A263990101B2}" name="Annuité" dataDxfId="6"/>
    <tableColumn id="6" xr3:uid="{EDE6E5BC-602D-4D92-92B5-4AFDEB830BEC}" name="Flux actualisé" dataDxfId="5">
      <calculatedColumnFormula>E14/(1+$B$8)^A14</calculatedColumnFormula>
    </tableColumn>
    <tableColumn id="7" xr3:uid="{0631E06B-8453-40E9-872D-3CF1F72E5D13}" name="Durée pondérée par flux actu" dataDxfId="4">
      <calculatedColumnFormula>F14*A14</calculatedColumnFormula>
    </tableColumn>
  </tableColumns>
  <tableStyleInfo name="TableStyleMedium1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842D0A17-436E-44CF-A0BF-5F86762EE098}" name="Tableau61215" displayName="Tableau61215" ref="F22:G23" headerRowCount="0" totalsRowShown="0" headerRowDxfId="3" dataDxfId="2">
  <tableColumns count="2">
    <tableColumn id="1" xr3:uid="{172C47F2-3AFC-410C-85EB-89B0E892DCD8}" name="Colonne1" dataDxfId="1"/>
    <tableColumn id="2" xr3:uid="{E134C6E5-A6B9-4171-A973-893B01907319}" name="Colonne2" dataDxfId="0">
      <calculatedColumnFormula>G19/F19</calculatedColumnFormula>
    </tableColumn>
  </tableColumns>
  <tableStyleInfo name="TableStyleDark5"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69CD355-C581-4472-8023-DD352DDECDCF}" name="Tableau15" displayName="Tableau15" ref="A4:D12" headerRowCount="0" totalsRowShown="0">
  <tableColumns count="4">
    <tableColumn id="1" xr3:uid="{7077F61B-D2FE-4D43-AEB6-1ECA9D9B2F62}" name="Colonne1"/>
    <tableColumn id="2" xr3:uid="{9C313B71-F685-4414-8C75-065D425DD29A}" name="Colonne2"/>
    <tableColumn id="3" xr3:uid="{E2AC1649-EA25-4963-8AF5-24420B05D4FC}" name="Colonne3"/>
    <tableColumn id="4" xr3:uid="{B529CE57-B688-4EDE-8CD5-BFDC1749FEFC}" name="Colonne4"/>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table" Target="../tables/table5.xml"/><Relationship Id="rId1" Type="http://schemas.openxmlformats.org/officeDocument/2006/relationships/table" Target="../tables/table4.xml"/></Relationships>
</file>

<file path=xl/worksheets/_rels/sheet4.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table" Target="../tables/table8.xml"/><Relationship Id="rId1" Type="http://schemas.openxmlformats.org/officeDocument/2006/relationships/table" Target="../tables/table7.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0"/>
  </sheetPr>
  <dimension ref="B2:C27"/>
  <sheetViews>
    <sheetView showGridLines="0" workbookViewId="0">
      <selection activeCell="F4" sqref="F4"/>
    </sheetView>
  </sheetViews>
  <sheetFormatPr baseColWidth="10" defaultColWidth="8.7265625" defaultRowHeight="14.5" x14ac:dyDescent="0.35"/>
  <cols>
    <col min="1" max="1" width="2" customWidth="1"/>
    <col min="2" max="2" width="35.453125" bestFit="1" customWidth="1"/>
    <col min="3" max="3" width="70" customWidth="1"/>
    <col min="4" max="4" width="2" customWidth="1"/>
  </cols>
  <sheetData>
    <row r="2" spans="2:3" ht="36" customHeight="1" x14ac:dyDescent="0.35">
      <c r="B2" s="12" t="s">
        <v>50</v>
      </c>
      <c r="C2" s="9"/>
    </row>
    <row r="3" spans="2:3" ht="8" customHeight="1" x14ac:dyDescent="0.35"/>
    <row r="4" spans="2:3" ht="18" customHeight="1" x14ac:dyDescent="0.35">
      <c r="B4" s="8" t="s">
        <v>0</v>
      </c>
      <c r="C4" s="9"/>
    </row>
    <row r="5" spans="2:3" ht="12" customHeight="1" x14ac:dyDescent="0.35"/>
    <row r="6" spans="2:3" ht="20" customHeight="1" x14ac:dyDescent="0.35">
      <c r="B6" s="10" t="s">
        <v>1</v>
      </c>
      <c r="C6" s="9"/>
    </row>
    <row r="7" spans="2:3" ht="60" customHeight="1" x14ac:dyDescent="0.35">
      <c r="B7" s="2" t="s">
        <v>51</v>
      </c>
      <c r="C7" s="3"/>
    </row>
    <row r="8" spans="2:3" ht="10" customHeight="1" x14ac:dyDescent="0.35"/>
    <row r="9" spans="2:3" ht="20" customHeight="1" x14ac:dyDescent="0.35">
      <c r="B9" s="10" t="s">
        <v>2</v>
      </c>
      <c r="C9" s="9"/>
    </row>
    <row r="10" spans="2:3" ht="56" customHeight="1" x14ac:dyDescent="0.35">
      <c r="B10" s="11" t="s">
        <v>3</v>
      </c>
      <c r="C10" s="5" t="s">
        <v>4</v>
      </c>
    </row>
    <row r="11" spans="2:3" ht="56" customHeight="1" x14ac:dyDescent="0.35">
      <c r="B11" s="11" t="s">
        <v>5</v>
      </c>
      <c r="C11" s="1" t="s">
        <v>6</v>
      </c>
    </row>
    <row r="12" spans="2:3" ht="56" customHeight="1" x14ac:dyDescent="0.35">
      <c r="B12" s="11" t="s">
        <v>7</v>
      </c>
      <c r="C12" s="5" t="s">
        <v>53</v>
      </c>
    </row>
    <row r="13" spans="2:3" ht="10" customHeight="1" x14ac:dyDescent="0.35"/>
    <row r="14" spans="2:3" ht="20" customHeight="1" x14ac:dyDescent="0.35">
      <c r="B14" s="10" t="s">
        <v>8</v>
      </c>
      <c r="C14" s="9"/>
    </row>
    <row r="15" spans="2:3" ht="52" customHeight="1" x14ac:dyDescent="0.35">
      <c r="B15" s="11" t="s">
        <v>9</v>
      </c>
      <c r="C15" s="1" t="s">
        <v>10</v>
      </c>
    </row>
    <row r="16" spans="2:3" ht="60" customHeight="1" x14ac:dyDescent="0.35">
      <c r="B16" s="11" t="s">
        <v>11</v>
      </c>
      <c r="C16" s="5" t="s">
        <v>12</v>
      </c>
    </row>
    <row r="17" spans="2:3" ht="56" customHeight="1" x14ac:dyDescent="0.35">
      <c r="B17" s="11" t="s">
        <v>13</v>
      </c>
      <c r="C17" s="1" t="s">
        <v>14</v>
      </c>
    </row>
    <row r="18" spans="2:3" ht="10" customHeight="1" x14ac:dyDescent="0.35"/>
    <row r="19" spans="2:3" ht="20" customHeight="1" x14ac:dyDescent="0.35">
      <c r="B19" s="10" t="s">
        <v>15</v>
      </c>
      <c r="C19" s="9"/>
    </row>
    <row r="20" spans="2:3" ht="80" customHeight="1" x14ac:dyDescent="0.35">
      <c r="B20" s="6" t="s">
        <v>16</v>
      </c>
      <c r="C20" s="7"/>
    </row>
    <row r="21" spans="2:3" ht="10" customHeight="1" x14ac:dyDescent="0.35"/>
    <row r="22" spans="2:3" ht="20" customHeight="1" x14ac:dyDescent="0.35">
      <c r="B22" s="10" t="s">
        <v>17</v>
      </c>
      <c r="C22" s="9"/>
    </row>
    <row r="23" spans="2:3" ht="36" customHeight="1" x14ac:dyDescent="0.35">
      <c r="B23" s="11" t="s">
        <v>18</v>
      </c>
      <c r="C23" s="5" t="s">
        <v>19</v>
      </c>
    </row>
    <row r="24" spans="2:3" ht="36" customHeight="1" x14ac:dyDescent="0.35">
      <c r="B24" s="11" t="s">
        <v>20</v>
      </c>
      <c r="C24" s="1" t="s">
        <v>21</v>
      </c>
    </row>
    <row r="25" spans="2:3" ht="36" customHeight="1" x14ac:dyDescent="0.35">
      <c r="B25" s="11" t="s">
        <v>22</v>
      </c>
      <c r="C25" s="5" t="s">
        <v>23</v>
      </c>
    </row>
    <row r="26" spans="2:3" ht="36" customHeight="1" x14ac:dyDescent="0.35">
      <c r="B26" s="11" t="s">
        <v>24</v>
      </c>
      <c r="C26" s="1" t="s">
        <v>25</v>
      </c>
    </row>
    <row r="27" spans="2:3" ht="10" customHeight="1" x14ac:dyDescent="0.35"/>
  </sheetData>
  <mergeCells count="9">
    <mergeCell ref="B22:C22"/>
    <mergeCell ref="B14:C14"/>
    <mergeCell ref="B9:C9"/>
    <mergeCell ref="B4:C4"/>
    <mergeCell ref="B6:C6"/>
    <mergeCell ref="B2:C2"/>
    <mergeCell ref="B7:C7"/>
    <mergeCell ref="B19:C19"/>
    <mergeCell ref="B20:C20"/>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97A4F-9A23-44A9-9810-5389639A0555}">
  <dimension ref="A2:G24"/>
  <sheetViews>
    <sheetView tabSelected="1" workbookViewId="0">
      <selection activeCell="C7" sqref="C7"/>
    </sheetView>
  </sheetViews>
  <sheetFormatPr baseColWidth="10" defaultRowHeight="14.5" x14ac:dyDescent="0.35"/>
  <cols>
    <col min="1" max="1" width="22.81640625" customWidth="1"/>
    <col min="2" max="2" width="18.36328125" customWidth="1"/>
    <col min="3" max="3" width="15.7265625" customWidth="1"/>
    <col min="6" max="6" width="14" customWidth="1"/>
    <col min="7" max="7" width="27.36328125" customWidth="1"/>
  </cols>
  <sheetData>
    <row r="2" spans="1:7" ht="16.5" x14ac:dyDescent="0.35">
      <c r="A2" s="13" t="s">
        <v>56</v>
      </c>
      <c r="B2" s="13"/>
      <c r="C2" s="13"/>
    </row>
    <row r="4" spans="1:7" x14ac:dyDescent="0.35">
      <c r="A4" s="19" t="s">
        <v>54</v>
      </c>
      <c r="B4" s="19"/>
    </row>
    <row r="5" spans="1:7" x14ac:dyDescent="0.35">
      <c r="A5" s="15" t="s">
        <v>26</v>
      </c>
      <c r="B5" s="16">
        <v>0.97</v>
      </c>
    </row>
    <row r="6" spans="1:7" x14ac:dyDescent="0.35">
      <c r="A6" s="15" t="s">
        <v>27</v>
      </c>
      <c r="B6" s="15" t="s">
        <v>28</v>
      </c>
    </row>
    <row r="7" spans="1:7" x14ac:dyDescent="0.35">
      <c r="A7" s="15" t="s">
        <v>29</v>
      </c>
      <c r="B7" s="16">
        <v>7.0000000000000007E-2</v>
      </c>
    </row>
    <row r="8" spans="1:7" x14ac:dyDescent="0.35">
      <c r="A8" s="15" t="s">
        <v>30</v>
      </c>
      <c r="B8" s="15" t="s">
        <v>43</v>
      </c>
    </row>
    <row r="9" spans="1:7" x14ac:dyDescent="0.35">
      <c r="A9" s="15" t="s">
        <v>9</v>
      </c>
      <c r="B9" s="18">
        <v>8.1900000000000001E-2</v>
      </c>
    </row>
    <row r="13" spans="1:7" x14ac:dyDescent="0.35">
      <c r="A13" s="22" t="s">
        <v>31</v>
      </c>
      <c r="B13" s="22"/>
    </row>
    <row r="14" spans="1:7" x14ac:dyDescent="0.35">
      <c r="A14" t="s">
        <v>32</v>
      </c>
      <c r="B14" t="s">
        <v>33</v>
      </c>
      <c r="C14" t="s">
        <v>34</v>
      </c>
      <c r="D14" t="s">
        <v>35</v>
      </c>
      <c r="E14" t="s">
        <v>36</v>
      </c>
      <c r="F14" t="s">
        <v>37</v>
      </c>
      <c r="G14" t="s">
        <v>38</v>
      </c>
    </row>
    <row r="15" spans="1:7" x14ac:dyDescent="0.35">
      <c r="A15">
        <v>1</v>
      </c>
      <c r="B15" s="20">
        <v>100</v>
      </c>
      <c r="C15" s="20">
        <f>$B$15/5</f>
        <v>20</v>
      </c>
      <c r="D15" s="20">
        <f>$B$7*B15</f>
        <v>7.0000000000000009</v>
      </c>
      <c r="E15" s="20">
        <f>C15+D15</f>
        <v>27</v>
      </c>
      <c r="F15" s="20">
        <f>E15/(1+$B$9)^A15</f>
        <v>24.956095757463718</v>
      </c>
      <c r="G15" s="20">
        <f>F15*A15</f>
        <v>24.956095757463718</v>
      </c>
    </row>
    <row r="16" spans="1:7" x14ac:dyDescent="0.35">
      <c r="A16">
        <v>2</v>
      </c>
      <c r="B16" s="20">
        <v>80</v>
      </c>
      <c r="C16" s="20">
        <f t="shared" ref="C16:C19" si="0">$B$15/5</f>
        <v>20</v>
      </c>
      <c r="D16" s="20">
        <f t="shared" ref="D16:D19" si="1">$B$7*B16</f>
        <v>5.6000000000000005</v>
      </c>
      <c r="E16" s="20">
        <f t="shared" ref="E16:E19" si="2">C16+D16</f>
        <v>25.6</v>
      </c>
      <c r="F16" s="20">
        <f t="shared" ref="F16:F19" si="3">E16/(1+$B$9)^A16</f>
        <v>21.870853107909308</v>
      </c>
      <c r="G16" s="20">
        <f t="shared" ref="G16:G19" si="4">F16*A16</f>
        <v>43.741706215818617</v>
      </c>
    </row>
    <row r="17" spans="1:7" x14ac:dyDescent="0.35">
      <c r="A17">
        <v>3</v>
      </c>
      <c r="B17" s="20">
        <v>60</v>
      </c>
      <c r="C17" s="20">
        <f t="shared" si="0"/>
        <v>20</v>
      </c>
      <c r="D17" s="20">
        <f t="shared" si="1"/>
        <v>4.2</v>
      </c>
      <c r="E17" s="20">
        <f t="shared" si="2"/>
        <v>24.2</v>
      </c>
      <c r="F17" s="20">
        <f t="shared" si="3"/>
        <v>19.109705914197718</v>
      </c>
      <c r="G17" s="20">
        <f t="shared" si="4"/>
        <v>57.329117742593155</v>
      </c>
    </row>
    <row r="18" spans="1:7" x14ac:dyDescent="0.35">
      <c r="A18">
        <v>4</v>
      </c>
      <c r="B18" s="20">
        <v>40</v>
      </c>
      <c r="C18" s="20">
        <f t="shared" si="0"/>
        <v>20</v>
      </c>
      <c r="D18" s="20">
        <f t="shared" si="1"/>
        <v>2.8000000000000003</v>
      </c>
      <c r="E18" s="20">
        <f t="shared" si="2"/>
        <v>22.8</v>
      </c>
      <c r="F18" s="20">
        <f t="shared" si="3"/>
        <v>16.64126604801119</v>
      </c>
      <c r="G18" s="20">
        <f t="shared" si="4"/>
        <v>66.565064192044758</v>
      </c>
    </row>
    <row r="19" spans="1:7" x14ac:dyDescent="0.35">
      <c r="A19">
        <v>5</v>
      </c>
      <c r="B19" s="20">
        <v>20</v>
      </c>
      <c r="C19" s="20">
        <f t="shared" si="0"/>
        <v>20</v>
      </c>
      <c r="D19" s="20">
        <f t="shared" si="1"/>
        <v>1.4000000000000001</v>
      </c>
      <c r="E19" s="20">
        <f t="shared" si="2"/>
        <v>21.4</v>
      </c>
      <c r="F19" s="20">
        <f t="shared" si="3"/>
        <v>14.437040320044474</v>
      </c>
      <c r="G19" s="20">
        <f t="shared" si="4"/>
        <v>72.185201600222371</v>
      </c>
    </row>
    <row r="20" spans="1:7" x14ac:dyDescent="0.35">
      <c r="A20" t="s">
        <v>39</v>
      </c>
      <c r="F20" s="24">
        <f>SUM(F15:F19)</f>
        <v>97.014961147626408</v>
      </c>
      <c r="G20" s="24">
        <f>SUM(G15:G19)</f>
        <v>264.77718550814262</v>
      </c>
    </row>
    <row r="23" spans="1:7" x14ac:dyDescent="0.35">
      <c r="F23" s="21" t="s">
        <v>55</v>
      </c>
      <c r="G23" s="21">
        <f t="shared" ref="G23" si="5">G20/F20</f>
        <v>2.7292407519004684</v>
      </c>
    </row>
    <row r="24" spans="1:7" x14ac:dyDescent="0.35">
      <c r="F24" s="21" t="s">
        <v>13</v>
      </c>
      <c r="G24" s="21">
        <f>G23/(1+B9)</f>
        <v>2.5226367981333473</v>
      </c>
    </row>
  </sheetData>
  <mergeCells count="2">
    <mergeCell ref="A4:B4"/>
    <mergeCell ref="A2:C2"/>
  </mergeCells>
  <pageMargins left="0.7" right="0.7" top="0.75" bottom="0.75" header="0.3" footer="0.3"/>
  <ignoredErrors>
    <ignoredError sqref="F20:G20 G24" calculatedColumn="1"/>
  </ignoredErrors>
  <tableParts count="3">
    <tablePart r:id="rId1"/>
    <tablePart r:id="rId2"/>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8DFC04-80EE-4367-8ED0-BD853A3FAD69}">
  <dimension ref="A1:G23"/>
  <sheetViews>
    <sheetView workbookViewId="0">
      <selection activeCell="C6" sqref="C6"/>
    </sheetView>
  </sheetViews>
  <sheetFormatPr baseColWidth="10" defaultRowHeight="14.5" x14ac:dyDescent="0.35"/>
  <cols>
    <col min="1" max="1" width="21.6328125" bestFit="1" customWidth="1"/>
    <col min="2" max="2" width="18.36328125" customWidth="1"/>
    <col min="3" max="3" width="18.7265625" customWidth="1"/>
    <col min="6" max="6" width="14.26953125" bestFit="1" customWidth="1"/>
    <col min="7" max="7" width="27.81640625" bestFit="1" customWidth="1"/>
  </cols>
  <sheetData>
    <row r="1" spans="1:7" ht="16.5" x14ac:dyDescent="0.35">
      <c r="A1" s="23" t="s">
        <v>57</v>
      </c>
      <c r="B1" s="23"/>
      <c r="C1" s="23"/>
      <c r="D1" s="23"/>
      <c r="E1" s="23"/>
      <c r="F1" s="23"/>
    </row>
    <row r="3" spans="1:7" x14ac:dyDescent="0.35">
      <c r="A3" s="19" t="s">
        <v>54</v>
      </c>
      <c r="B3" s="19"/>
    </row>
    <row r="4" spans="1:7" x14ac:dyDescent="0.35">
      <c r="A4" s="15" t="s">
        <v>26</v>
      </c>
      <c r="B4" s="16">
        <v>1.2</v>
      </c>
    </row>
    <row r="5" spans="1:7" x14ac:dyDescent="0.35">
      <c r="A5" s="15" t="s">
        <v>27</v>
      </c>
      <c r="B5" s="15" t="s">
        <v>28</v>
      </c>
    </row>
    <row r="6" spans="1:7" x14ac:dyDescent="0.35">
      <c r="A6" s="15" t="s">
        <v>29</v>
      </c>
      <c r="B6" s="16">
        <v>0.13</v>
      </c>
    </row>
    <row r="7" spans="1:7" x14ac:dyDescent="0.35">
      <c r="A7" s="15" t="s">
        <v>30</v>
      </c>
      <c r="B7" s="15" t="s">
        <v>52</v>
      </c>
    </row>
    <row r="8" spans="1:7" x14ac:dyDescent="0.35">
      <c r="A8" s="15" t="s">
        <v>9</v>
      </c>
      <c r="B8" s="18">
        <v>7.9899999999999999E-2</v>
      </c>
    </row>
    <row r="12" spans="1:7" x14ac:dyDescent="0.35">
      <c r="A12" s="22" t="s">
        <v>31</v>
      </c>
      <c r="B12" s="22"/>
    </row>
    <row r="13" spans="1:7" x14ac:dyDescent="0.35">
      <c r="A13" t="s">
        <v>32</v>
      </c>
      <c r="B13" t="s">
        <v>33</v>
      </c>
      <c r="C13" t="s">
        <v>34</v>
      </c>
      <c r="D13" t="s">
        <v>35</v>
      </c>
      <c r="E13" t="s">
        <v>36</v>
      </c>
      <c r="F13" t="s">
        <v>37</v>
      </c>
      <c r="G13" t="s">
        <v>38</v>
      </c>
    </row>
    <row r="14" spans="1:7" x14ac:dyDescent="0.35">
      <c r="A14">
        <v>1</v>
      </c>
      <c r="B14" s="20">
        <v>100</v>
      </c>
      <c r="C14" s="20">
        <v>0</v>
      </c>
      <c r="D14" s="20">
        <f>$B$6*B14</f>
        <v>13</v>
      </c>
      <c r="E14" s="20">
        <f>C14+D14</f>
        <v>13</v>
      </c>
      <c r="F14" s="20">
        <f>E14/(1+$B$8)^A14</f>
        <v>12.038151680711175</v>
      </c>
      <c r="G14" s="20">
        <f>F14*A14</f>
        <v>12.038151680711175</v>
      </c>
    </row>
    <row r="15" spans="1:7" x14ac:dyDescent="0.35">
      <c r="A15">
        <v>2</v>
      </c>
      <c r="B15" s="20">
        <v>100</v>
      </c>
      <c r="C15" s="20">
        <v>0</v>
      </c>
      <c r="D15" s="20">
        <f t="shared" ref="D15:D18" si="0">$B$6*B15</f>
        <v>13</v>
      </c>
      <c r="E15" s="20">
        <f t="shared" ref="E15:E18" si="1">C15+D15</f>
        <v>13</v>
      </c>
      <c r="F15" s="20">
        <f t="shared" ref="F15:F18" si="2">E15/(1+$B$8)^A15</f>
        <v>11.14746891444687</v>
      </c>
      <c r="G15" s="20">
        <f t="shared" ref="G15:G18" si="3">F15*A15</f>
        <v>22.29493782889374</v>
      </c>
    </row>
    <row r="16" spans="1:7" x14ac:dyDescent="0.35">
      <c r="A16">
        <v>3</v>
      </c>
      <c r="B16" s="20">
        <v>100</v>
      </c>
      <c r="C16" s="20">
        <v>0</v>
      </c>
      <c r="D16" s="20">
        <f t="shared" si="0"/>
        <v>13</v>
      </c>
      <c r="E16" s="20">
        <f t="shared" si="1"/>
        <v>13</v>
      </c>
      <c r="F16" s="20">
        <f t="shared" si="2"/>
        <v>10.322686280624936</v>
      </c>
      <c r="G16" s="20">
        <f t="shared" si="3"/>
        <v>30.968058841874807</v>
      </c>
    </row>
    <row r="17" spans="1:7" x14ac:dyDescent="0.35">
      <c r="A17">
        <v>4</v>
      </c>
      <c r="B17" s="20">
        <v>100</v>
      </c>
      <c r="C17" s="20">
        <v>0</v>
      </c>
      <c r="D17" s="20">
        <f t="shared" si="0"/>
        <v>13</v>
      </c>
      <c r="E17" s="20">
        <f t="shared" si="1"/>
        <v>13</v>
      </c>
      <c r="F17" s="20">
        <f t="shared" si="2"/>
        <v>9.5589279383507133</v>
      </c>
      <c r="G17" s="20">
        <f t="shared" si="3"/>
        <v>38.235711753402853</v>
      </c>
    </row>
    <row r="18" spans="1:7" x14ac:dyDescent="0.35">
      <c r="A18">
        <v>5</v>
      </c>
      <c r="B18" s="20">
        <v>100</v>
      </c>
      <c r="C18" s="20">
        <v>100</v>
      </c>
      <c r="D18" s="20">
        <f t="shared" si="0"/>
        <v>13</v>
      </c>
      <c r="E18" s="20">
        <f t="shared" si="1"/>
        <v>113</v>
      </c>
      <c r="F18" s="20">
        <f t="shared" si="2"/>
        <v>76.941515741032319</v>
      </c>
      <c r="G18" s="20">
        <f t="shared" si="3"/>
        <v>384.70757870516161</v>
      </c>
    </row>
    <row r="19" spans="1:7" x14ac:dyDescent="0.35">
      <c r="A19" t="s">
        <v>39</v>
      </c>
      <c r="F19" s="24">
        <f>SUM(F14:F18)</f>
        <v>120.00875055516602</v>
      </c>
      <c r="G19" s="24">
        <f>SUM(G14:G18)</f>
        <v>488.24443881004419</v>
      </c>
    </row>
    <row r="22" spans="1:7" x14ac:dyDescent="0.35">
      <c r="F22" s="21" t="s">
        <v>55</v>
      </c>
      <c r="G22" s="21">
        <f t="shared" ref="G22" si="4">G19/F19</f>
        <v>4.0684069832524949</v>
      </c>
    </row>
    <row r="23" spans="1:7" x14ac:dyDescent="0.35">
      <c r="F23" s="21" t="s">
        <v>13</v>
      </c>
      <c r="G23" s="21">
        <f>G22/(1+B8)</f>
        <v>3.7673923356352392</v>
      </c>
    </row>
  </sheetData>
  <mergeCells count="1">
    <mergeCell ref="A3:B3"/>
  </mergeCells>
  <pageMargins left="0.7" right="0.7" top="0.75" bottom="0.75" header="0.3" footer="0.3"/>
  <ignoredErrors>
    <ignoredError sqref="F19" calculatedColumn="1"/>
  </ignoredErrors>
  <tableParts count="3">
    <tablePart r:id="rId1"/>
    <tablePart r:id="rId2"/>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148897-C975-4DD7-A40D-EC8C30D9B146}">
  <dimension ref="A1:G23"/>
  <sheetViews>
    <sheetView workbookViewId="0">
      <selection activeCell="D7" sqref="D7"/>
    </sheetView>
  </sheetViews>
  <sheetFormatPr baseColWidth="10" defaultRowHeight="14.5" x14ac:dyDescent="0.35"/>
  <cols>
    <col min="1" max="1" width="22.08984375" customWidth="1"/>
    <col min="2" max="2" width="12.6328125" bestFit="1" customWidth="1"/>
    <col min="6" max="6" width="14.26953125" bestFit="1" customWidth="1"/>
    <col min="7" max="7" width="27.81640625" bestFit="1" customWidth="1"/>
  </cols>
  <sheetData>
    <row r="1" spans="1:7" ht="16.5" x14ac:dyDescent="0.35">
      <c r="A1" s="25" t="s">
        <v>58</v>
      </c>
      <c r="B1" s="25"/>
      <c r="C1" s="25"/>
      <c r="D1" s="25"/>
      <c r="E1" s="25"/>
      <c r="F1" s="25"/>
    </row>
    <row r="3" spans="1:7" x14ac:dyDescent="0.35">
      <c r="A3" s="19" t="s">
        <v>54</v>
      </c>
      <c r="B3" s="19"/>
    </row>
    <row r="4" spans="1:7" x14ac:dyDescent="0.35">
      <c r="A4" s="15" t="s">
        <v>26</v>
      </c>
      <c r="B4" s="16">
        <v>0.67</v>
      </c>
    </row>
    <row r="5" spans="1:7" x14ac:dyDescent="0.35">
      <c r="A5" s="15" t="s">
        <v>27</v>
      </c>
      <c r="B5" s="15" t="s">
        <v>28</v>
      </c>
    </row>
    <row r="6" spans="1:7" x14ac:dyDescent="0.35">
      <c r="A6" s="15" t="s">
        <v>29</v>
      </c>
      <c r="B6" s="16">
        <v>0</v>
      </c>
    </row>
    <row r="7" spans="1:7" x14ac:dyDescent="0.35">
      <c r="A7" s="15" t="s">
        <v>30</v>
      </c>
      <c r="B7" s="15" t="s">
        <v>52</v>
      </c>
    </row>
    <row r="8" spans="1:7" x14ac:dyDescent="0.35">
      <c r="A8" s="15" t="s">
        <v>9</v>
      </c>
      <c r="B8" s="18">
        <v>8.3400000000000002E-2</v>
      </c>
    </row>
    <row r="12" spans="1:7" x14ac:dyDescent="0.35">
      <c r="A12" s="22" t="s">
        <v>31</v>
      </c>
      <c r="B12" s="22"/>
    </row>
    <row r="13" spans="1:7" x14ac:dyDescent="0.35">
      <c r="A13" t="s">
        <v>32</v>
      </c>
      <c r="B13" t="s">
        <v>33</v>
      </c>
      <c r="C13" t="s">
        <v>34</v>
      </c>
      <c r="D13" t="s">
        <v>35</v>
      </c>
      <c r="E13" t="s">
        <v>36</v>
      </c>
      <c r="F13" t="s">
        <v>37</v>
      </c>
      <c r="G13" t="s">
        <v>38</v>
      </c>
    </row>
    <row r="14" spans="1:7" x14ac:dyDescent="0.35">
      <c r="A14">
        <v>1</v>
      </c>
      <c r="B14" s="20">
        <v>100</v>
      </c>
      <c r="C14" s="20">
        <v>0</v>
      </c>
      <c r="D14" s="20">
        <f>$B$6*B14</f>
        <v>0</v>
      </c>
      <c r="E14" s="20">
        <f>C14+D14</f>
        <v>0</v>
      </c>
      <c r="F14" s="20">
        <f>E14/(1+$B$8)^A14</f>
        <v>0</v>
      </c>
      <c r="G14" s="20">
        <f>F14*A14</f>
        <v>0</v>
      </c>
    </row>
    <row r="15" spans="1:7" x14ac:dyDescent="0.35">
      <c r="A15">
        <v>2</v>
      </c>
      <c r="B15" s="20">
        <v>100</v>
      </c>
      <c r="C15" s="20">
        <v>0</v>
      </c>
      <c r="D15" s="20">
        <f t="shared" ref="D15:D18" si="0">$B$6*B15</f>
        <v>0</v>
      </c>
      <c r="E15" s="20">
        <f t="shared" ref="E15:E18" si="1">C15+D15</f>
        <v>0</v>
      </c>
      <c r="F15" s="20">
        <f t="shared" ref="F15:F18" si="2">E15/(1+$B$8)^A15</f>
        <v>0</v>
      </c>
      <c r="G15" s="20">
        <f t="shared" ref="G15:G18" si="3">F15*A15</f>
        <v>0</v>
      </c>
    </row>
    <row r="16" spans="1:7" x14ac:dyDescent="0.35">
      <c r="A16">
        <v>3</v>
      </c>
      <c r="B16" s="20">
        <v>100</v>
      </c>
      <c r="C16" s="20">
        <v>0</v>
      </c>
      <c r="D16" s="20">
        <f t="shared" si="0"/>
        <v>0</v>
      </c>
      <c r="E16" s="20">
        <f t="shared" si="1"/>
        <v>0</v>
      </c>
      <c r="F16" s="20">
        <f t="shared" si="2"/>
        <v>0</v>
      </c>
      <c r="G16" s="20">
        <f t="shared" si="3"/>
        <v>0</v>
      </c>
    </row>
    <row r="17" spans="1:7" x14ac:dyDescent="0.35">
      <c r="A17">
        <v>4</v>
      </c>
      <c r="B17" s="20">
        <v>100</v>
      </c>
      <c r="C17" s="20">
        <v>0</v>
      </c>
      <c r="D17" s="20">
        <f t="shared" si="0"/>
        <v>0</v>
      </c>
      <c r="E17" s="20">
        <f t="shared" si="1"/>
        <v>0</v>
      </c>
      <c r="F17" s="20">
        <f t="shared" si="2"/>
        <v>0</v>
      </c>
      <c r="G17" s="20">
        <f t="shared" si="3"/>
        <v>0</v>
      </c>
    </row>
    <row r="18" spans="1:7" x14ac:dyDescent="0.35">
      <c r="A18">
        <v>5</v>
      </c>
      <c r="B18" s="20">
        <v>100</v>
      </c>
      <c r="C18" s="20">
        <v>100</v>
      </c>
      <c r="D18" s="20">
        <f t="shared" si="0"/>
        <v>0</v>
      </c>
      <c r="E18" s="20">
        <f t="shared" si="1"/>
        <v>100</v>
      </c>
      <c r="F18" s="20">
        <f t="shared" si="2"/>
        <v>66.997075204891701</v>
      </c>
      <c r="G18" s="20">
        <f t="shared" si="3"/>
        <v>334.9853760244585</v>
      </c>
    </row>
    <row r="19" spans="1:7" x14ac:dyDescent="0.35">
      <c r="A19" t="s">
        <v>39</v>
      </c>
      <c r="F19" s="24">
        <f>SUM(F14:F18)</f>
        <v>66.997075204891701</v>
      </c>
      <c r="G19" s="24">
        <f>SUM(G14:G18)</f>
        <v>334.9853760244585</v>
      </c>
    </row>
    <row r="22" spans="1:7" x14ac:dyDescent="0.35">
      <c r="F22" s="21" t="s">
        <v>55</v>
      </c>
      <c r="G22" s="21">
        <f t="shared" ref="G22" si="4">G19/F19</f>
        <v>5</v>
      </c>
    </row>
    <row r="23" spans="1:7" x14ac:dyDescent="0.35">
      <c r="F23" s="21" t="s">
        <v>13</v>
      </c>
      <c r="G23" s="21">
        <f>G22/(1+B8)</f>
        <v>4.6151006091932807</v>
      </c>
    </row>
  </sheetData>
  <mergeCells count="1">
    <mergeCell ref="A3:B3"/>
  </mergeCells>
  <pageMargins left="0.7" right="0.7" top="0.75" bottom="0.75" header="0.3" footer="0.3"/>
  <tableParts count="3">
    <tablePart r:id="rId1"/>
    <tablePart r:id="rId2"/>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AC1E66-7FDE-4F89-ACFA-944AED0A8890}">
  <dimension ref="A1:D12"/>
  <sheetViews>
    <sheetView workbookViewId="0">
      <selection activeCell="D22" sqref="D22"/>
    </sheetView>
  </sheetViews>
  <sheetFormatPr baseColWidth="10" defaultRowHeight="14.5" x14ac:dyDescent="0.35"/>
  <cols>
    <col min="1" max="1" width="21.54296875" bestFit="1" customWidth="1"/>
    <col min="2" max="2" width="32.54296875" bestFit="1" customWidth="1"/>
    <col min="3" max="3" width="17.1796875" bestFit="1" customWidth="1"/>
    <col min="4" max="4" width="21.6328125" bestFit="1" customWidth="1"/>
  </cols>
  <sheetData>
    <row r="1" spans="1:4" ht="16.5" x14ac:dyDescent="0.35">
      <c r="A1" s="4" t="s">
        <v>59</v>
      </c>
      <c r="B1" s="4"/>
      <c r="C1" s="4"/>
      <c r="D1" s="4"/>
    </row>
    <row r="4" spans="1:4" x14ac:dyDescent="0.35">
      <c r="B4" t="s">
        <v>40</v>
      </c>
      <c r="C4" t="s">
        <v>41</v>
      </c>
      <c r="D4" t="s">
        <v>42</v>
      </c>
    </row>
    <row r="5" spans="1:4" x14ac:dyDescent="0.35">
      <c r="A5" t="s">
        <v>26</v>
      </c>
      <c r="B5" s="14">
        <v>0.97</v>
      </c>
      <c r="C5" s="14">
        <v>1.2</v>
      </c>
      <c r="D5" s="14">
        <v>0.67</v>
      </c>
    </row>
    <row r="6" spans="1:4" x14ac:dyDescent="0.35">
      <c r="A6" t="s">
        <v>27</v>
      </c>
      <c r="B6" t="s">
        <v>28</v>
      </c>
      <c r="C6" t="s">
        <v>28</v>
      </c>
      <c r="D6" t="s">
        <v>28</v>
      </c>
    </row>
    <row r="7" spans="1:4" x14ac:dyDescent="0.35">
      <c r="A7" t="s">
        <v>29</v>
      </c>
      <c r="B7" s="14">
        <v>7.0000000000000007E-2</v>
      </c>
      <c r="C7" s="14">
        <v>0.13</v>
      </c>
      <c r="D7" s="14">
        <v>0</v>
      </c>
    </row>
    <row r="8" spans="1:4" x14ac:dyDescent="0.35">
      <c r="A8" t="s">
        <v>30</v>
      </c>
      <c r="B8" t="s">
        <v>43</v>
      </c>
      <c r="C8" t="s">
        <v>44</v>
      </c>
      <c r="D8" t="s">
        <v>44</v>
      </c>
    </row>
    <row r="9" spans="1:4" x14ac:dyDescent="0.35">
      <c r="A9" t="s">
        <v>9</v>
      </c>
      <c r="B9" s="17">
        <v>8.1900000000000001E-2</v>
      </c>
      <c r="C9" s="17">
        <v>7.9899999999999999E-2</v>
      </c>
      <c r="D9" s="17">
        <v>8.3400000000000002E-2</v>
      </c>
    </row>
    <row r="10" spans="1:4" x14ac:dyDescent="0.35">
      <c r="A10" t="s">
        <v>45</v>
      </c>
      <c r="B10">
        <f>'Obligation 1 Amort. Constant'!G23</f>
        <v>2.7292407519004684</v>
      </c>
      <c r="C10">
        <f>'Obligation 3 Amort. Zero coupon'!G22</f>
        <v>5</v>
      </c>
      <c r="D10">
        <f>'Obligation 3 Amort. Zero coupon'!G22</f>
        <v>5</v>
      </c>
    </row>
    <row r="11" spans="1:4" x14ac:dyDescent="0.35">
      <c r="A11" t="s">
        <v>13</v>
      </c>
      <c r="B11">
        <f>'Obligation 1 Amort. Constant'!G24</f>
        <v>2.5226367981333473</v>
      </c>
      <c r="C11">
        <f>'Obligation 2 Amort. In fine'!G23</f>
        <v>3.7673923356352392</v>
      </c>
      <c r="D11">
        <f>'Obligation 3 Amort. Zero coupon'!G23</f>
        <v>4.6151006091932807</v>
      </c>
    </row>
    <row r="12" spans="1:4" x14ac:dyDescent="0.35">
      <c r="A12" t="s">
        <v>46</v>
      </c>
      <c r="B12" t="s">
        <v>47</v>
      </c>
      <c r="C12" t="s">
        <v>48</v>
      </c>
      <c r="D12" t="s">
        <v>49</v>
      </c>
    </row>
  </sheetData>
  <mergeCells count="1">
    <mergeCell ref="A1:D1"/>
  </mergeCells>
  <pageMargins left="0.7" right="0.7" top="0.75" bottom="0.75" header="0.3" footer="0.3"/>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5</vt:i4>
      </vt:variant>
    </vt:vector>
  </HeadingPairs>
  <TitlesOfParts>
    <vt:vector size="5" baseType="lpstr">
      <vt:lpstr>Contexte</vt:lpstr>
      <vt:lpstr>Obligation 1 Amort. Constant</vt:lpstr>
      <vt:lpstr>Obligation 2 Amort. In fine</vt:lpstr>
      <vt:lpstr>Obligation 3 Amort. Zero coupon</vt:lpstr>
      <vt:lpstr>Récapitulatif.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CLAVERIE LEBA</dc:creator>
  <cp:lastModifiedBy>MA46953</cp:lastModifiedBy>
  <dcterms:created xsi:type="dcterms:W3CDTF">2026-04-01T22:38:50Z</dcterms:created>
  <dcterms:modified xsi:type="dcterms:W3CDTF">2026-04-01T23:50:11Z</dcterms:modified>
</cp:coreProperties>
</file>