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lave\Desktop\MON PORTFOLIO\"/>
    </mc:Choice>
  </mc:AlternateContent>
  <xr:revisionPtr revIDLastSave="0" documentId="13_ncr:1_{E6C5941D-2D1B-47C8-9384-7C9EB6AAD43F}" xr6:coauthVersionLast="47" xr6:coauthVersionMax="47" xr10:uidLastSave="{00000000-0000-0000-0000-000000000000}"/>
  <bookViews>
    <workbookView xWindow="-110" yWindow="-110" windowWidth="22780" windowHeight="14540" xr2:uid="{C557C1F1-C4B3-41F6-BF45-3E5F2458B2D2}"/>
  </bookViews>
  <sheets>
    <sheet name="Contexte" sheetId="3" r:id="rId1"/>
    <sheet name="Overview" sheetId="1" r:id="rId2"/>
    <sheet name="PnL" sheetId="2" r:id="rId3"/>
  </sheets>
  <functionGroups builtInGroupCount="19"/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N10" i="2" l="1"/>
  <c r="E27" i="2"/>
  <c r="E25" i="2"/>
  <c r="E26" i="2"/>
  <c r="E24" i="2"/>
  <c r="N23" i="2"/>
  <c r="L23" i="2"/>
  <c r="M23" i="2"/>
  <c r="N24" i="2"/>
  <c r="N25" i="2"/>
  <c r="N26" i="2"/>
  <c r="N27" i="2"/>
  <c r="M24" i="2"/>
  <c r="M25" i="2"/>
  <c r="M26" i="2"/>
  <c r="M27" i="2"/>
  <c r="L24" i="2"/>
  <c r="L25" i="2"/>
  <c r="L26" i="2"/>
  <c r="L27" i="2"/>
  <c r="K25" i="2"/>
  <c r="K26" i="2"/>
  <c r="K24" i="2"/>
  <c r="K27" i="2"/>
  <c r="K23" i="2"/>
  <c r="I24" i="2"/>
  <c r="I25" i="2"/>
  <c r="I26" i="2"/>
  <c r="I27" i="2"/>
  <c r="I23" i="2"/>
  <c r="M30" i="2" l="1"/>
  <c r="K28" i="2"/>
  <c r="K29" i="2"/>
  <c r="K31" i="2"/>
  <c r="K30" i="2"/>
  <c r="L31" i="2"/>
  <c r="L30" i="2"/>
  <c r="L29" i="2"/>
  <c r="M31" i="2"/>
  <c r="M29" i="2"/>
  <c r="N31" i="2"/>
  <c r="N30" i="2"/>
  <c r="N29" i="2"/>
  <c r="L28" i="2"/>
  <c r="J23" i="2"/>
  <c r="J27" i="2"/>
  <c r="J26" i="2"/>
  <c r="J25" i="2"/>
  <c r="J24" i="2"/>
  <c r="M28" i="2"/>
  <c r="N28" i="2"/>
  <c r="M32" i="2" l="1"/>
  <c r="N32" i="2"/>
  <c r="L32" i="2"/>
  <c r="K32" i="2"/>
  <c r="E34" i="2"/>
  <c r="J34" i="2" l="1"/>
  <c r="N34" i="2" s="1"/>
  <c r="L34" i="2" l="1"/>
  <c r="E7" i="2" l="1"/>
  <c r="H8" i="1"/>
  <c r="I6" i="2"/>
  <c r="M6" i="2"/>
  <c r="K7" i="2"/>
  <c r="I7" i="2"/>
  <c r="L6" i="2"/>
  <c r="K6" i="2"/>
  <c r="N7" i="2"/>
  <c r="M7" i="2"/>
  <c r="L7" i="2"/>
  <c r="N6" i="2"/>
  <c r="L8" i="2" l="1"/>
  <c r="N8" i="2"/>
  <c r="K8" i="2"/>
  <c r="J7" i="2"/>
  <c r="J6" i="2"/>
  <c r="M8" i="2"/>
  <c r="J10" i="2" l="1"/>
  <c r="E11" i="2"/>
  <c r="L10" i="2" l="1"/>
  <c r="E9" i="1" l="1"/>
  <c r="G8" i="1"/>
  <c r="F8" i="1"/>
  <c r="H9" i="1"/>
  <c r="U9" i="1"/>
  <c r="M8" i="1"/>
  <c r="T9" i="1"/>
  <c r="X8" i="1"/>
  <c r="L8" i="1"/>
  <c r="S9" i="1"/>
  <c r="W8" i="1"/>
  <c r="K8" i="1"/>
  <c r="O9" i="1"/>
  <c r="S8" i="1"/>
  <c r="N9" i="1"/>
  <c r="M9" i="1"/>
  <c r="X9" i="1"/>
  <c r="P8" i="1"/>
  <c r="W9" i="1"/>
  <c r="O8" i="1"/>
  <c r="V9" i="1"/>
  <c r="N8" i="1"/>
  <c r="R9" i="1"/>
  <c r="V8" i="1"/>
  <c r="J8" i="1"/>
  <c r="Q9" i="1"/>
  <c r="U8" i="1"/>
  <c r="P9" i="1"/>
  <c r="T8" i="1"/>
  <c r="R8" i="1"/>
  <c r="Q8" i="1"/>
  <c r="L9" i="1"/>
  <c r="K9" i="1"/>
  <c r="J9" i="1"/>
  <c r="G9" i="1" l="1"/>
  <c r="E10" i="1"/>
  <c r="I8" i="1"/>
  <c r="I9" i="1"/>
  <c r="F10" i="1"/>
  <c r="F9" i="1"/>
  <c r="G10" i="1"/>
  <c r="R10" i="1"/>
  <c r="S10" i="1"/>
  <c r="T10" i="1"/>
  <c r="U10" i="1"/>
  <c r="V10" i="1"/>
  <c r="H10" i="1"/>
  <c r="K10" i="1"/>
  <c r="L10" i="1"/>
  <c r="X10" i="1"/>
  <c r="M10" i="1"/>
  <c r="N10" i="1"/>
  <c r="J10" i="1"/>
  <c r="W10" i="1"/>
  <c r="O10" i="1"/>
  <c r="P10" i="1"/>
  <c r="Q10" i="1"/>
  <c r="E11" i="1" l="1"/>
  <c r="I10" i="1"/>
  <c r="T11" i="1"/>
  <c r="U11" i="1"/>
  <c r="J11" i="1"/>
  <c r="V11" i="1"/>
  <c r="H11" i="1"/>
  <c r="K11" i="1"/>
  <c r="W11" i="1"/>
  <c r="O11" i="1"/>
  <c r="P11" i="1"/>
  <c r="Q11" i="1"/>
  <c r="R11" i="1"/>
  <c r="S11" i="1"/>
  <c r="L11" i="1"/>
  <c r="X11" i="1"/>
  <c r="M11" i="1"/>
  <c r="N11" i="1"/>
  <c r="F11" i="1" l="1"/>
  <c r="G11" i="1"/>
  <c r="I11" i="1" s="1"/>
  <c r="E12" i="1"/>
  <c r="L12" i="1"/>
  <c r="M12" i="1"/>
  <c r="N12" i="1"/>
  <c r="O12" i="1"/>
  <c r="P12" i="1"/>
  <c r="R12" i="1"/>
  <c r="S12" i="1"/>
  <c r="T12" i="1"/>
  <c r="X12" i="1"/>
  <c r="Q12" i="1"/>
  <c r="U12" i="1"/>
  <c r="J12" i="1"/>
  <c r="V12" i="1"/>
  <c r="H12" i="1"/>
  <c r="K12" i="1"/>
  <c r="W12" i="1"/>
  <c r="F12" i="1" l="1"/>
  <c r="E13" i="1"/>
  <c r="G12" i="1"/>
  <c r="I12" i="1" s="1"/>
  <c r="U13" i="1"/>
  <c r="H13" i="1"/>
  <c r="W13" i="1"/>
  <c r="X13" i="1"/>
  <c r="N13" i="1"/>
  <c r="O13" i="1"/>
  <c r="P13" i="1"/>
  <c r="Q13" i="1"/>
  <c r="J13" i="1"/>
  <c r="V13" i="1"/>
  <c r="K13" i="1"/>
  <c r="L13" i="1"/>
  <c r="M13" i="1"/>
  <c r="R13" i="1"/>
  <c r="S13" i="1"/>
  <c r="T13" i="1"/>
  <c r="E14" i="1" l="1"/>
  <c r="F13" i="1"/>
  <c r="G13" i="1"/>
  <c r="I13" i="1" s="1"/>
  <c r="S14" i="1"/>
  <c r="J14" i="1"/>
  <c r="W14" i="1"/>
  <c r="L14" i="1"/>
  <c r="X14" i="1"/>
  <c r="M14" i="1"/>
  <c r="N14" i="1"/>
  <c r="R14" i="1"/>
  <c r="T14" i="1"/>
  <c r="U14" i="1"/>
  <c r="V14" i="1"/>
  <c r="K14" i="1"/>
  <c r="H14" i="1"/>
  <c r="O14" i="1"/>
  <c r="P14" i="1"/>
  <c r="Q14" i="1"/>
  <c r="F14" i="1" l="1"/>
  <c r="G14" i="1"/>
  <c r="I14" i="1" s="1"/>
  <c r="E15" i="1"/>
  <c r="H15" i="1"/>
  <c r="O15" i="1"/>
  <c r="Q15" i="1"/>
  <c r="S15" i="1"/>
  <c r="U15" i="1"/>
  <c r="J15" i="1"/>
  <c r="V15" i="1"/>
  <c r="K15" i="1"/>
  <c r="W15" i="1"/>
  <c r="P15" i="1"/>
  <c r="R15" i="1"/>
  <c r="T15" i="1"/>
  <c r="L15" i="1"/>
  <c r="X15" i="1"/>
  <c r="M15" i="1"/>
  <c r="N15" i="1"/>
  <c r="G15" i="1" l="1"/>
  <c r="I15" i="1" s="1"/>
  <c r="E16" i="1"/>
  <c r="F15" i="1"/>
  <c r="X16" i="1"/>
  <c r="M16" i="1"/>
  <c r="O16" i="1"/>
  <c r="Q16" i="1"/>
  <c r="R16" i="1"/>
  <c r="S16" i="1"/>
  <c r="T16" i="1"/>
  <c r="L16" i="1"/>
  <c r="N16" i="1"/>
  <c r="H16" i="1"/>
  <c r="P16" i="1"/>
  <c r="U16" i="1"/>
  <c r="J16" i="1"/>
  <c r="V16" i="1"/>
  <c r="K16" i="1"/>
  <c r="W16" i="1"/>
  <c r="E17" i="1" l="1"/>
  <c r="G16" i="1"/>
  <c r="I16" i="1" s="1"/>
  <c r="F16" i="1"/>
  <c r="J17" i="1"/>
  <c r="K17" i="1"/>
  <c r="X17" i="1"/>
  <c r="M17" i="1"/>
  <c r="O17" i="1"/>
  <c r="P17" i="1"/>
  <c r="Q17" i="1"/>
  <c r="U17" i="1"/>
  <c r="V17" i="1"/>
  <c r="W17" i="1"/>
  <c r="L17" i="1"/>
  <c r="N17" i="1"/>
  <c r="R17" i="1"/>
  <c r="H17" i="1"/>
  <c r="S17" i="1"/>
  <c r="T17" i="1"/>
  <c r="F17" i="1" l="1"/>
  <c r="G17" i="1"/>
  <c r="I17" i="1" s="1"/>
  <c r="E18" i="1"/>
  <c r="M18" i="1"/>
  <c r="H18" i="1"/>
  <c r="K18" i="1"/>
  <c r="L18" i="1"/>
  <c r="N18" i="1"/>
  <c r="O18" i="1"/>
  <c r="P18" i="1"/>
  <c r="J18" i="1"/>
  <c r="Q18" i="1"/>
  <c r="R18" i="1"/>
  <c r="S18" i="1"/>
  <c r="T18" i="1"/>
  <c r="U18" i="1"/>
  <c r="V18" i="1"/>
  <c r="W18" i="1"/>
  <c r="X18" i="1"/>
  <c r="G18" i="1" l="1"/>
  <c r="I18" i="1" s="1"/>
  <c r="F18" i="1"/>
</calcChain>
</file>

<file path=xl/sharedStrings.xml><?xml version="1.0" encoding="utf-8"?>
<sst xmlns="http://schemas.openxmlformats.org/spreadsheetml/2006/main" count="75" uniqueCount="37">
  <si>
    <t>Strike</t>
  </si>
  <si>
    <t>Maturity in y</t>
  </si>
  <si>
    <t>Interest rate</t>
  </si>
  <si>
    <t>Payoff</t>
  </si>
  <si>
    <t>Delta</t>
  </si>
  <si>
    <t>Delta Finite Diff</t>
  </si>
  <si>
    <t>Gamma</t>
  </si>
  <si>
    <t>Vega</t>
  </si>
  <si>
    <t>Theta</t>
  </si>
  <si>
    <t>Volatility</t>
  </si>
  <si>
    <t>Formule</t>
  </si>
  <si>
    <t>Call</t>
  </si>
  <si>
    <t>Put</t>
  </si>
  <si>
    <t>Straddle</t>
  </si>
  <si>
    <t>d1</t>
  </si>
  <si>
    <t>d2</t>
  </si>
  <si>
    <t># of call</t>
  </si>
  <si>
    <t>Day</t>
  </si>
  <si>
    <t>Spot</t>
  </si>
  <si>
    <t>Maturity</t>
  </si>
  <si>
    <t>r</t>
  </si>
  <si>
    <t>Impact</t>
  </si>
  <si>
    <t>PnL</t>
  </si>
  <si>
    <t>Explanation</t>
  </si>
  <si>
    <t>Unexplained</t>
  </si>
  <si>
    <t>1 to 2</t>
  </si>
  <si>
    <t>Formule pour un call :</t>
  </si>
  <si>
    <t>avec :</t>
  </si>
  <si>
    <t>Formule pour un put :</t>
  </si>
  <si>
    <t>Formule greeks :</t>
  </si>
  <si>
    <t>1 to 5</t>
  </si>
  <si>
    <t>Impact 1</t>
  </si>
  <si>
    <t>Impact 2</t>
  </si>
  <si>
    <t>Impact 3</t>
  </si>
  <si>
    <t>Impact 4</t>
  </si>
  <si>
    <t>Somme</t>
  </si>
  <si>
    <t>% expliqué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</si>
</sst>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i/>
      <sz val="11"/>
      <color theme="1"/>
      <name val="Arial"/>
      <family val="2"/>
    </font>
    <font>
      <b/>
      <sz val="12"/>
      <color theme="1"/>
      <name val="Arial"/>
      <family val="2"/>
    </font>
    <font>
      <b/>
      <u/>
      <sz val="10"/>
      <name val="Arial"/>
      <family val="2"/>
    </font>
    <font>
      <b/>
      <u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lightUp">
        <bgColor theme="0"/>
      </patternFill>
    </fill>
    <fill>
      <patternFill patternType="solid">
        <fgColor theme="0"/>
        <bgColor indexed="64"/>
      </patternFill>
    </fill>
    <fill>
      <patternFill patternType="lightUp"/>
    </fill>
  </fills>
  <borders count="5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6">
    <xf numFmtId="0" fontId="0" fillId="0" borderId="0" xfId="0"/>
    <xf numFmtId="0" fontId="2" fillId="2" borderId="0" xfId="0" applyFont="1" applyFill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9" fontId="4" fillId="3" borderId="2" xfId="0" applyNumberFormat="1" applyFont="1" applyFill="1" applyBorder="1" applyAlignment="1">
      <alignment horizontal="center"/>
    </xf>
    <xf numFmtId="9" fontId="4" fillId="3" borderId="4" xfId="0" applyNumberFormat="1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164" fontId="2" fillId="3" borderId="10" xfId="0" applyNumberFormat="1" applyFont="1" applyFill="1" applyBorder="1" applyAlignment="1">
      <alignment horizontal="center"/>
    </xf>
    <xf numFmtId="164" fontId="2" fillId="3" borderId="12" xfId="0" applyNumberFormat="1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/>
    </xf>
    <xf numFmtId="164" fontId="2" fillId="3" borderId="11" xfId="0" applyNumberFormat="1" applyFont="1" applyFill="1" applyBorder="1" applyAlignment="1">
      <alignment horizontal="center"/>
    </xf>
    <xf numFmtId="9" fontId="2" fillId="0" borderId="10" xfId="1" applyFont="1" applyBorder="1" applyAlignment="1">
      <alignment horizontal="center" vertical="center"/>
    </xf>
    <xf numFmtId="9" fontId="2" fillId="0" borderId="12" xfId="1" applyFont="1" applyBorder="1" applyAlignment="1">
      <alignment horizontal="center" vertical="center"/>
    </xf>
    <xf numFmtId="9" fontId="2" fillId="0" borderId="13" xfId="1" applyFont="1" applyBorder="1" applyAlignment="1">
      <alignment horizontal="center"/>
    </xf>
    <xf numFmtId="9" fontId="2" fillId="0" borderId="14" xfId="1" applyFont="1" applyBorder="1" applyAlignment="1">
      <alignment horizontal="center"/>
    </xf>
    <xf numFmtId="9" fontId="2" fillId="0" borderId="10" xfId="1" applyFont="1" applyBorder="1" applyAlignment="1">
      <alignment horizontal="center"/>
    </xf>
    <xf numFmtId="9" fontId="2" fillId="0" borderId="12" xfId="1" applyFont="1" applyBorder="1" applyAlignment="1">
      <alignment horizontal="center"/>
    </xf>
    <xf numFmtId="0" fontId="4" fillId="3" borderId="15" xfId="0" applyFont="1" applyFill="1" applyBorder="1" applyAlignment="1">
      <alignment horizontal="center"/>
    </xf>
    <xf numFmtId="0" fontId="2" fillId="3" borderId="16" xfId="0" applyFont="1" applyFill="1" applyBorder="1" applyAlignment="1">
      <alignment horizontal="center"/>
    </xf>
    <xf numFmtId="0" fontId="2" fillId="3" borderId="17" xfId="0" applyFont="1" applyFill="1" applyBorder="1" applyAlignment="1">
      <alignment horizontal="center"/>
    </xf>
    <xf numFmtId="164" fontId="2" fillId="3" borderId="16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164" fontId="2" fillId="3" borderId="17" xfId="0" applyNumberFormat="1" applyFont="1" applyFill="1" applyBorder="1" applyAlignment="1">
      <alignment horizontal="center"/>
    </xf>
    <xf numFmtId="9" fontId="2" fillId="0" borderId="16" xfId="1" applyFont="1" applyBorder="1" applyAlignment="1">
      <alignment horizontal="center" vertical="center"/>
    </xf>
    <xf numFmtId="9" fontId="2" fillId="0" borderId="18" xfId="1" applyFont="1" applyBorder="1" applyAlignment="1">
      <alignment horizontal="center" vertical="center"/>
    </xf>
    <xf numFmtId="9" fontId="2" fillId="0" borderId="19" xfId="1" applyFont="1" applyBorder="1" applyAlignment="1">
      <alignment horizontal="center"/>
    </xf>
    <xf numFmtId="9" fontId="2" fillId="0" borderId="20" xfId="1" applyFont="1" applyBorder="1" applyAlignment="1">
      <alignment horizontal="center"/>
    </xf>
    <xf numFmtId="9" fontId="2" fillId="0" borderId="16" xfId="1" applyFont="1" applyBorder="1" applyAlignment="1">
      <alignment horizontal="center"/>
    </xf>
    <xf numFmtId="9" fontId="2" fillId="0" borderId="18" xfId="1" applyFont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2" fillId="3" borderId="21" xfId="0" applyFont="1" applyFill="1" applyBorder="1" applyAlignment="1">
      <alignment horizontal="center"/>
    </xf>
    <xf numFmtId="0" fontId="2" fillId="3" borderId="22" xfId="0" applyFont="1" applyFill="1" applyBorder="1" applyAlignment="1">
      <alignment horizontal="center"/>
    </xf>
    <xf numFmtId="164" fontId="2" fillId="3" borderId="21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9" fontId="2" fillId="0" borderId="21" xfId="1" applyFont="1" applyBorder="1" applyAlignment="1">
      <alignment horizontal="center" vertical="center"/>
    </xf>
    <xf numFmtId="9" fontId="2" fillId="0" borderId="23" xfId="1" applyFont="1" applyBorder="1" applyAlignment="1">
      <alignment horizontal="center" vertical="center"/>
    </xf>
    <xf numFmtId="9" fontId="2" fillId="0" borderId="24" xfId="1" applyFont="1" applyBorder="1" applyAlignment="1">
      <alignment horizontal="center"/>
    </xf>
    <xf numFmtId="9" fontId="2" fillId="0" borderId="25" xfId="1" applyFont="1" applyBorder="1" applyAlignment="1">
      <alignment horizontal="center"/>
    </xf>
    <xf numFmtId="9" fontId="2" fillId="0" borderId="21" xfId="1" applyFont="1" applyBorder="1" applyAlignment="1">
      <alignment horizontal="center"/>
    </xf>
    <xf numFmtId="9" fontId="2" fillId="0" borderId="23" xfId="1" applyFont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5" fillId="3" borderId="5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5" fillId="3" borderId="6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4" borderId="26" xfId="0" applyFont="1" applyFill="1" applyBorder="1" applyAlignment="1">
      <alignment horizontal="center" vertical="center"/>
    </xf>
    <xf numFmtId="0" fontId="2" fillId="4" borderId="27" xfId="0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center" vertical="center"/>
    </xf>
    <xf numFmtId="0" fontId="2" fillId="4" borderId="29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1" fontId="2" fillId="4" borderId="0" xfId="0" applyNumberFormat="1" applyFont="1" applyFill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4" borderId="33" xfId="0" applyFont="1" applyFill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9" fontId="2" fillId="0" borderId="37" xfId="0" applyNumberFormat="1" applyFont="1" applyBorder="1" applyAlignment="1">
      <alignment horizontal="center" vertical="center"/>
    </xf>
    <xf numFmtId="9" fontId="2" fillId="0" borderId="39" xfId="0" applyNumberFormat="1" applyFont="1" applyBorder="1" applyAlignment="1">
      <alignment horizontal="center" vertical="center"/>
    </xf>
    <xf numFmtId="2" fontId="2" fillId="0" borderId="40" xfId="0" applyNumberFormat="1" applyFont="1" applyBorder="1" applyAlignment="1">
      <alignment horizontal="center" vertical="center"/>
    </xf>
    <xf numFmtId="4" fontId="2" fillId="0" borderId="41" xfId="0" applyNumberFormat="1" applyFont="1" applyBorder="1" applyAlignment="1">
      <alignment horizontal="center" vertical="center"/>
    </xf>
    <xf numFmtId="4" fontId="2" fillId="0" borderId="1" xfId="0" applyNumberFormat="1" applyFont="1" applyBorder="1" applyAlignment="1">
      <alignment horizontal="center" vertical="center"/>
    </xf>
    <xf numFmtId="4" fontId="2" fillId="0" borderId="38" xfId="0" applyNumberFormat="1" applyFont="1" applyBorder="1" applyAlignment="1">
      <alignment horizontal="center" vertical="center"/>
    </xf>
    <xf numFmtId="4" fontId="2" fillId="0" borderId="39" xfId="0" applyNumberFormat="1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2" fontId="2" fillId="0" borderId="43" xfId="0" applyNumberFormat="1" applyFont="1" applyBorder="1" applyAlignment="1">
      <alignment horizontal="center" vertical="center"/>
    </xf>
    <xf numFmtId="9" fontId="2" fillId="0" borderId="3" xfId="0" applyNumberFormat="1" applyFont="1" applyBorder="1" applyAlignment="1">
      <alignment horizontal="center" vertical="center"/>
    </xf>
    <xf numFmtId="9" fontId="2" fillId="0" borderId="4" xfId="0" applyNumberFormat="1" applyFont="1" applyBorder="1" applyAlignment="1">
      <alignment horizontal="center" vertical="center"/>
    </xf>
    <xf numFmtId="2" fontId="2" fillId="0" borderId="21" xfId="0" applyNumberFormat="1" applyFont="1" applyBorder="1" applyAlignment="1">
      <alignment horizontal="center" vertical="center"/>
    </xf>
    <xf numFmtId="4" fontId="2" fillId="0" borderId="23" xfId="0" applyNumberFormat="1" applyFont="1" applyBorder="1" applyAlignment="1">
      <alignment horizontal="center" vertical="center"/>
    </xf>
    <xf numFmtId="4" fontId="2" fillId="0" borderId="44" xfId="0" applyNumberFormat="1" applyFont="1" applyBorder="1" applyAlignment="1">
      <alignment horizontal="center" vertical="center"/>
    </xf>
    <xf numFmtId="4" fontId="2" fillId="0" borderId="45" xfId="0" applyNumberFormat="1" applyFont="1" applyBorder="1" applyAlignment="1">
      <alignment horizontal="center" vertical="center"/>
    </xf>
    <xf numFmtId="4" fontId="2" fillId="0" borderId="46" xfId="0" applyNumberFormat="1" applyFont="1" applyBorder="1" applyAlignment="1">
      <alignment horizontal="center" vertical="center"/>
    </xf>
    <xf numFmtId="4" fontId="2" fillId="0" borderId="31" xfId="0" applyNumberFormat="1" applyFont="1" applyBorder="1" applyAlignment="1">
      <alignment horizontal="center" vertical="center"/>
    </xf>
    <xf numFmtId="4" fontId="2" fillId="0" borderId="34" xfId="0" applyNumberFormat="1" applyFont="1" applyBorder="1" applyAlignment="1">
      <alignment horizontal="center" vertical="center"/>
    </xf>
    <xf numFmtId="4" fontId="2" fillId="0" borderId="32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2" fontId="2" fillId="0" borderId="30" xfId="0" applyNumberFormat="1" applyFont="1" applyBorder="1" applyAlignment="1">
      <alignment horizontal="center" vertical="center"/>
    </xf>
    <xf numFmtId="2" fontId="2" fillId="0" borderId="32" xfId="0" applyNumberFormat="1" applyFont="1" applyBorder="1" applyAlignment="1">
      <alignment horizontal="center" vertical="center"/>
    </xf>
    <xf numFmtId="1" fontId="2" fillId="0" borderId="47" xfId="0" applyNumberFormat="1" applyFont="1" applyBorder="1" applyAlignment="1">
      <alignment horizontal="center" vertical="center"/>
    </xf>
    <xf numFmtId="0" fontId="2" fillId="4" borderId="48" xfId="0" applyFont="1" applyFill="1" applyBorder="1" applyAlignment="1">
      <alignment horizontal="center" vertical="center"/>
    </xf>
    <xf numFmtId="0" fontId="2" fillId="4" borderId="49" xfId="0" applyFont="1" applyFill="1" applyBorder="1" applyAlignment="1">
      <alignment horizontal="center" vertical="center"/>
    </xf>
    <xf numFmtId="0" fontId="2" fillId="4" borderId="47" xfId="0" applyFont="1" applyFill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9" fontId="2" fillId="0" borderId="32" xfId="1" applyFont="1" applyBorder="1" applyAlignment="1">
      <alignment horizontal="center" vertic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chemeClr val="accent2">
                    <a:lumMod val="50000"/>
                  </a:schemeClr>
                </a:solidFill>
              </a:rPr>
              <a:t>Call payoff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[1]Overview!$E$8:$E$18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[1]Overview!$F$8:$F$18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</c:v>
                </c:pt>
                <c:pt idx="7">
                  <c:v>20</c:v>
                </c:pt>
                <c:pt idx="8">
                  <c:v>30</c:v>
                </c:pt>
                <c:pt idx="9">
                  <c:v>40</c:v>
                </c:pt>
                <c:pt idx="10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5B-416B-BB39-1396CAC86152}"/>
            </c:ext>
          </c:extLst>
        </c:ser>
        <c:ser>
          <c:idx val="1"/>
          <c:order val="1"/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[1]Overview!$E$8:$E$18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[1]Overview!$L$8:$L$18</c:f>
              <c:numCache>
                <c:formatCode>0.0000</c:formatCode>
                <c:ptCount val="11"/>
                <c:pt idx="0">
                  <c:v>9.4310908807501757E-4</c:v>
                </c:pt>
                <c:pt idx="1">
                  <c:v>2.6111811907240604E-2</c:v>
                </c:pt>
                <c:pt idx="2">
                  <c:v>0.24810989689245078</c:v>
                </c:pt>
                <c:pt idx="3">
                  <c:v>1.1859295132104275</c:v>
                </c:pt>
                <c:pt idx="4">
                  <c:v>3.5891081160547964</c:v>
                </c:pt>
                <c:pt idx="5">
                  <c:v>7.9655674554057976</c:v>
                </c:pt>
                <c:pt idx="6">
                  <c:v>14.292010941409888</c:v>
                </c:pt>
                <c:pt idx="7">
                  <c:v>22.147298810578143</c:v>
                </c:pt>
                <c:pt idx="8">
                  <c:v>31.008871615968598</c:v>
                </c:pt>
                <c:pt idx="9">
                  <c:v>40.450032451908108</c:v>
                </c:pt>
                <c:pt idx="10">
                  <c:v>50.192475323297067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5B-416B-BB39-1396CAC861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892992"/>
        <c:axId val="179894528"/>
      </c:lineChart>
      <c:catAx>
        <c:axId val="179892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9894528"/>
        <c:crosses val="autoZero"/>
        <c:auto val="1"/>
        <c:lblAlgn val="ctr"/>
        <c:lblOffset val="100"/>
        <c:noMultiLvlLbl val="0"/>
      </c:catAx>
      <c:valAx>
        <c:axId val="1798945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798929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>
                <a:solidFill>
                  <a:schemeClr val="accent2">
                    <a:lumMod val="50000"/>
                  </a:schemeClr>
                </a:solidFill>
              </a:rPr>
              <a:t>Straddle payoff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[1]Overview!$E$8:$E$18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[1]Overview!$I$8:$I$18</c:f>
              <c:numCache>
                <c:formatCode>General</c:formatCode>
                <c:ptCount val="11"/>
                <c:pt idx="0">
                  <c:v>50</c:v>
                </c:pt>
                <c:pt idx="1">
                  <c:v>40</c:v>
                </c:pt>
                <c:pt idx="2">
                  <c:v>30</c:v>
                </c:pt>
                <c:pt idx="3">
                  <c:v>20</c:v>
                </c:pt>
                <c:pt idx="4">
                  <c:v>10</c:v>
                </c:pt>
                <c:pt idx="5">
                  <c:v>0</c:v>
                </c:pt>
                <c:pt idx="6">
                  <c:v>10</c:v>
                </c:pt>
                <c:pt idx="7">
                  <c:v>20</c:v>
                </c:pt>
                <c:pt idx="8">
                  <c:v>30</c:v>
                </c:pt>
                <c:pt idx="9">
                  <c:v>40</c:v>
                </c:pt>
                <c:pt idx="10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6F-4F90-938C-A55314B3D3B9}"/>
            </c:ext>
          </c:extLst>
        </c:ser>
        <c:ser>
          <c:idx val="1"/>
          <c:order val="1"/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[1]Overview!$E$8:$E$18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[1]Overview!$N$8:$N$18</c:f>
              <c:numCache>
                <c:formatCode>0.0000</c:formatCode>
                <c:ptCount val="11"/>
                <c:pt idx="0">
                  <c:v>50.001886218176161</c:v>
                </c:pt>
                <c:pt idx="1">
                  <c:v>40.052223623814484</c:v>
                </c:pt>
                <c:pt idx="2">
                  <c:v>30.496219793784899</c:v>
                </c:pt>
                <c:pt idx="3">
                  <c:v>22.371859026420847</c:v>
                </c:pt>
                <c:pt idx="4">
                  <c:v>17.178216232109595</c:v>
                </c:pt>
                <c:pt idx="5">
                  <c:v>15.931134910811595</c:v>
                </c:pt>
                <c:pt idx="6">
                  <c:v>18.584021882819776</c:v>
                </c:pt>
                <c:pt idx="7">
                  <c:v>24.294597621156289</c:v>
                </c:pt>
                <c:pt idx="8">
                  <c:v>32.017743231937196</c:v>
                </c:pt>
                <c:pt idx="9">
                  <c:v>40.900064903816215</c:v>
                </c:pt>
                <c:pt idx="10">
                  <c:v>50.38495064659412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6F-4F90-938C-A55314B3D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976064"/>
        <c:axId val="179977600"/>
      </c:lineChart>
      <c:catAx>
        <c:axId val="179976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9977600"/>
        <c:crosses val="autoZero"/>
        <c:auto val="1"/>
        <c:lblAlgn val="ctr"/>
        <c:lblOffset val="100"/>
        <c:noMultiLvlLbl val="0"/>
      </c:catAx>
      <c:valAx>
        <c:axId val="1799776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79976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>
                <a:solidFill>
                  <a:schemeClr val="accent2">
                    <a:lumMod val="50000"/>
                  </a:schemeClr>
                </a:solidFill>
              </a:rPr>
              <a:t>Put payoff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[1]Overview!$E$8:$E$18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[1]Overview!$H$8:$H$18</c:f>
              <c:numCache>
                <c:formatCode>General</c:formatCode>
                <c:ptCount val="11"/>
                <c:pt idx="0">
                  <c:v>50</c:v>
                </c:pt>
                <c:pt idx="1">
                  <c:v>40</c:v>
                </c:pt>
                <c:pt idx="2">
                  <c:v>30</c:v>
                </c:pt>
                <c:pt idx="3">
                  <c:v>20</c:v>
                </c:pt>
                <c:pt idx="4">
                  <c:v>10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0-4E39-972A-AF763998DC08}"/>
            </c:ext>
          </c:extLst>
        </c:ser>
        <c:ser>
          <c:idx val="1"/>
          <c:order val="1"/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[1]Overview!$E$8:$E$18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[1]Overview!$M$8:$M$18</c:f>
              <c:numCache>
                <c:formatCode>0.0000</c:formatCode>
                <c:ptCount val="11"/>
                <c:pt idx="0">
                  <c:v>50.000943109088084</c:v>
                </c:pt>
                <c:pt idx="1">
                  <c:v>40.026111811907242</c:v>
                </c:pt>
                <c:pt idx="2">
                  <c:v>30.248109896892448</c:v>
                </c:pt>
                <c:pt idx="3">
                  <c:v>21.185929513210418</c:v>
                </c:pt>
                <c:pt idx="4">
                  <c:v>13.589108116054797</c:v>
                </c:pt>
                <c:pt idx="5">
                  <c:v>7.9655674554057976</c:v>
                </c:pt>
                <c:pt idx="6">
                  <c:v>4.2920109414098873</c:v>
                </c:pt>
                <c:pt idx="7">
                  <c:v>2.1472988105781452</c:v>
                </c:pt>
                <c:pt idx="8">
                  <c:v>1.0088716159686002</c:v>
                </c:pt>
                <c:pt idx="9">
                  <c:v>0.45003245190810753</c:v>
                </c:pt>
                <c:pt idx="10">
                  <c:v>0.19247532329705244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80-4E39-972A-AF763998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019200"/>
        <c:axId val="180020736"/>
      </c:lineChart>
      <c:catAx>
        <c:axId val="180019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0020736"/>
        <c:crosses val="autoZero"/>
        <c:auto val="1"/>
        <c:lblAlgn val="ctr"/>
        <c:lblOffset val="100"/>
        <c:noMultiLvlLbl val="0"/>
      </c:catAx>
      <c:valAx>
        <c:axId val="1800207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80019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/>
          <a:lstStyle/>
          <a:p>
            <a:pPr>
              <a:defRPr>
                <a:solidFill>
                  <a:schemeClr val="accent2">
                    <a:lumMod val="50000"/>
                  </a:schemeClr>
                </a:solidFill>
              </a:defRPr>
            </a:pPr>
            <a:r>
              <a:rPr lang="en-US">
                <a:solidFill>
                  <a:schemeClr val="accent2">
                    <a:lumMod val="50000"/>
                  </a:schemeClr>
                </a:solidFill>
              </a:rPr>
              <a:t>Gamma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[1]Overview!$E$8:$E$18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[1]Overview!$S$8:$S$18</c:f>
              <c:numCache>
                <c:formatCode>0%</c:formatCode>
                <c:ptCount val="11"/>
                <c:pt idx="0">
                  <c:v>1.3860724117063707E-4</c:v>
                </c:pt>
                <c:pt idx="1">
                  <c:v>1.6377012910680339E-3</c:v>
                </c:pt>
                <c:pt idx="2">
                  <c:v>6.9107100595697515E-3</c:v>
                </c:pt>
                <c:pt idx="3">
                  <c:v>1.4883944282451097E-2</c:v>
                </c:pt>
                <c:pt idx="4">
                  <c:v>2.0229819573811564E-2</c:v>
                </c:pt>
                <c:pt idx="5">
                  <c:v>1.9844113046417533E-2</c:v>
                </c:pt>
                <c:pt idx="6">
                  <c:v>1.5356186627827494E-2</c:v>
                </c:pt>
                <c:pt idx="7">
                  <c:v>9.966561451789523E-3</c:v>
                </c:pt>
                <c:pt idx="8">
                  <c:v>5.6660961594513044E-3</c:v>
                </c:pt>
                <c:pt idx="9">
                  <c:v>2.912172131015829E-3</c:v>
                </c:pt>
                <c:pt idx="10">
                  <c:v>1.3852478597932026E-3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6A-4D74-BB94-55C969728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3331456"/>
        <c:axId val="183333248"/>
      </c:lineChart>
      <c:catAx>
        <c:axId val="183331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3333248"/>
        <c:crosses val="autoZero"/>
        <c:auto val="1"/>
        <c:lblAlgn val="ctr"/>
        <c:lblOffset val="100"/>
        <c:noMultiLvlLbl val="0"/>
      </c:catAx>
      <c:valAx>
        <c:axId val="183333248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833314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>
                <a:solidFill>
                  <a:schemeClr val="accent2">
                    <a:lumMod val="50000"/>
                  </a:schemeClr>
                </a:solidFill>
              </a:rPr>
              <a:t>Delta Call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[1]Overview!$E$8:$E$18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[1]Overview!$Q$8:$Q$18</c:f>
              <c:numCache>
                <c:formatCode>0%</c:formatCode>
                <c:ptCount val="11"/>
                <c:pt idx="0">
                  <c:v>3.8352514633650239E-4</c:v>
                </c:pt>
                <c:pt idx="1">
                  <c:v>7.0797792076412406E-3</c:v>
                </c:pt>
                <c:pt idx="2">
                  <c:v>4.6211065241109961E-2</c:v>
                </c:pt>
                <c:pt idx="3">
                  <c:v>0.15496283365969893</c:v>
                </c:pt>
                <c:pt idx="4">
                  <c:v>0.33479598109389136</c:v>
                </c:pt>
                <c:pt idx="5">
                  <c:v>0.53977824704033051</c:v>
                </c:pt>
                <c:pt idx="6">
                  <c:v>0.71776928083184277</c:v>
                </c:pt>
                <c:pt idx="7">
                  <c:v>0.84401646932700025</c:v>
                </c:pt>
                <c:pt idx="8">
                  <c:v>0.92089980896004742</c:v>
                </c:pt>
                <c:pt idx="9">
                  <c:v>0.96258750367090218</c:v>
                </c:pt>
                <c:pt idx="10">
                  <c:v>0.98326320159287184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EA-4908-AB58-24F576215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3357440"/>
        <c:axId val="183358976"/>
      </c:lineChart>
      <c:catAx>
        <c:axId val="183357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3358976"/>
        <c:crosses val="autoZero"/>
        <c:auto val="1"/>
        <c:lblAlgn val="ctr"/>
        <c:lblOffset val="100"/>
        <c:noMultiLvlLbl val="0"/>
      </c:catAx>
      <c:valAx>
        <c:axId val="183358976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833574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>
                <a:solidFill>
                  <a:schemeClr val="accent2">
                    <a:lumMod val="50000"/>
                  </a:schemeClr>
                </a:solidFill>
              </a:rPr>
              <a:t>Delta Put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[1]Overview!$E$8:$E$18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[1]Overview!$R$8:$R$18</c:f>
              <c:numCache>
                <c:formatCode>0%</c:formatCode>
                <c:ptCount val="11"/>
                <c:pt idx="0">
                  <c:v>-0.99961647485366711</c:v>
                </c:pt>
                <c:pt idx="1">
                  <c:v>-0.99292022079236975</c:v>
                </c:pt>
                <c:pt idx="2">
                  <c:v>-0.9537889347588977</c:v>
                </c:pt>
                <c:pt idx="3">
                  <c:v>-0.84503716634029447</c:v>
                </c:pt>
                <c:pt idx="4">
                  <c:v>-0.66520401890611447</c:v>
                </c:pt>
                <c:pt idx="5">
                  <c:v>-0.46022175295966905</c:v>
                </c:pt>
                <c:pt idx="6">
                  <c:v>-0.28223071916815456</c:v>
                </c:pt>
                <c:pt idx="7">
                  <c:v>-0.15598353067300424</c:v>
                </c:pt>
                <c:pt idx="8">
                  <c:v>-7.9100191039962117E-2</c:v>
                </c:pt>
                <c:pt idx="9">
                  <c:v>-3.7412496329104816E-2</c:v>
                </c:pt>
                <c:pt idx="10">
                  <c:v>-1.6736798407126535E-2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FB-4E4F-8780-54833A8AF7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4747520"/>
        <c:axId val="184749056"/>
      </c:lineChart>
      <c:catAx>
        <c:axId val="184747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4749056"/>
        <c:crosses val="autoZero"/>
        <c:auto val="1"/>
        <c:lblAlgn val="ctr"/>
        <c:lblOffset val="100"/>
        <c:noMultiLvlLbl val="0"/>
      </c:catAx>
      <c:valAx>
        <c:axId val="184749056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847475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chemeClr val="accent2">
                    <a:lumMod val="50000"/>
                  </a:schemeClr>
                </a:solidFill>
              </a:rPr>
              <a:t>Theta Call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[1]Overview!$E$8:$E$18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[1]Overview!$W$8:$W$18</c:f>
              <c:numCache>
                <c:formatCode>0%</c:formatCode>
                <c:ptCount val="11"/>
                <c:pt idx="0">
                  <c:v>-1.8811783062446788E-5</c:v>
                </c:pt>
                <c:pt idx="1">
                  <c:v>-3.2159087080886259E-4</c:v>
                </c:pt>
                <c:pt idx="2">
                  <c:v>-1.8523678420200862E-3</c:v>
                </c:pt>
                <c:pt idx="3">
                  <c:v>-5.2192717664247823E-3</c:v>
                </c:pt>
                <c:pt idx="4">
                  <c:v>-8.9850830877420407E-3</c:v>
                </c:pt>
                <c:pt idx="5">
                  <c:v>-1.0882945951240508E-2</c:v>
                </c:pt>
                <c:pt idx="6">
                  <c:v>-1.0187340453716942E-2</c:v>
                </c:pt>
                <c:pt idx="7">
                  <c:v>-7.8638244378730349E-3</c:v>
                </c:pt>
                <c:pt idx="8">
                  <c:v>-5.2423015799867301E-3</c:v>
                </c:pt>
                <c:pt idx="9">
                  <c:v>-3.1215246734319635E-3</c:v>
                </c:pt>
                <c:pt idx="10">
                  <c:v>-1.7024791712216825E-3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89-4C2B-B66E-5EB31D35D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867008"/>
        <c:axId val="209224832"/>
      </c:lineChart>
      <c:catAx>
        <c:axId val="199867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224832"/>
        <c:crosses val="autoZero"/>
        <c:auto val="1"/>
        <c:lblAlgn val="ctr"/>
        <c:lblOffset val="100"/>
        <c:noMultiLvlLbl val="0"/>
      </c:catAx>
      <c:valAx>
        <c:axId val="209224832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998670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chemeClr val="accent2">
                    <a:lumMod val="50000"/>
                  </a:schemeClr>
                </a:solidFill>
              </a:rPr>
              <a:t>Theta Put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[1]Overview!$E$8:$E$18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[1]Overview!$X$8:$X$18</c:f>
              <c:numCache>
                <c:formatCode>0%</c:formatCode>
                <c:ptCount val="11"/>
                <c:pt idx="0">
                  <c:v>-1.8811783064620613E-5</c:v>
                </c:pt>
                <c:pt idx="1">
                  <c:v>-3.2159087081140569E-4</c:v>
                </c:pt>
                <c:pt idx="2">
                  <c:v>-1.8523678420194756E-3</c:v>
                </c:pt>
                <c:pt idx="3">
                  <c:v>-5.2192717664176769E-3</c:v>
                </c:pt>
                <c:pt idx="4">
                  <c:v>-8.9850830877491461E-3</c:v>
                </c:pt>
                <c:pt idx="5">
                  <c:v>-1.0882945951240508E-2</c:v>
                </c:pt>
                <c:pt idx="6">
                  <c:v>-1.0187340453716054E-2</c:v>
                </c:pt>
                <c:pt idx="7">
                  <c:v>-7.8638244378730349E-3</c:v>
                </c:pt>
                <c:pt idx="8">
                  <c:v>-5.2423015799889505E-3</c:v>
                </c:pt>
                <c:pt idx="9">
                  <c:v>-3.1215246734309088E-3</c:v>
                </c:pt>
                <c:pt idx="10">
                  <c:v>-1.7024791711945098E-3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0D-45FE-A8D3-4EDC7E2E87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557312"/>
        <c:axId val="96560640"/>
      </c:lineChart>
      <c:catAx>
        <c:axId val="96557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6560640"/>
        <c:crosses val="autoZero"/>
        <c:auto val="1"/>
        <c:lblAlgn val="ctr"/>
        <c:lblOffset val="100"/>
        <c:noMultiLvlLbl val="0"/>
      </c:catAx>
      <c:valAx>
        <c:axId val="96560640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965573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>
                <a:solidFill>
                  <a:schemeClr val="accent2">
                    <a:lumMod val="50000"/>
                  </a:schemeClr>
                </a:solidFill>
              </a:rPr>
              <a:t>Vega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[1]Overview!$E$8:$E$18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[1]Overview!$U$8:$U$18</c:f>
              <c:numCache>
                <c:formatCode>0%</c:formatCode>
                <c:ptCount val="11"/>
                <c:pt idx="0">
                  <c:v>7.2294461920792294E-2</c:v>
                </c:pt>
                <c:pt idx="1">
                  <c:v>1.1894461864541663</c:v>
                </c:pt>
                <c:pt idx="2">
                  <c:v>6.7726653074209082</c:v>
                </c:pt>
                <c:pt idx="3">
                  <c:v>19.035811297812867</c:v>
                </c:pt>
                <c:pt idx="4">
                  <c:v>32.768543862119735</c:v>
                </c:pt>
                <c:pt idx="5">
                  <c:v>39.695091005383709</c:v>
                </c:pt>
                <c:pt idx="6">
                  <c:v>37.153850016177699</c:v>
                </c:pt>
                <c:pt idx="7">
                  <c:v>28.677569532417024</c:v>
                </c:pt>
                <c:pt idx="8">
                  <c:v>19.125872567045121</c:v>
                </c:pt>
                <c:pt idx="9">
                  <c:v>11.405263281133671</c:v>
                </c:pt>
                <c:pt idx="10">
                  <c:v>6.2388981944067723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F5-4BA6-B827-F7CB76D40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545024"/>
        <c:axId val="98785920"/>
      </c:lineChart>
      <c:catAx>
        <c:axId val="96545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8785920"/>
        <c:crosses val="autoZero"/>
        <c:auto val="1"/>
        <c:lblAlgn val="ctr"/>
        <c:lblOffset val="100"/>
        <c:noMultiLvlLbl val="0"/>
      </c:catAx>
      <c:valAx>
        <c:axId val="98785920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965450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</xdr:row>
      <xdr:rowOff>165100</xdr:rowOff>
    </xdr:from>
    <xdr:to>
      <xdr:col>10</xdr:col>
      <xdr:colOff>704850</xdr:colOff>
      <xdr:row>27</xdr:row>
      <xdr:rowOff>158750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FC837EE5-3804-33A4-D6A7-9816A9757717}"/>
            </a:ext>
          </a:extLst>
        </xdr:cNvPr>
        <xdr:cNvSpPr txBox="1"/>
      </xdr:nvSpPr>
      <xdr:spPr>
        <a:xfrm>
          <a:off x="781050" y="349250"/>
          <a:ext cx="7543800" cy="478155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/>
            <a:t>PRICING DES OPTIONS ET P&amp;L ATTRIBUTION </a:t>
          </a:r>
          <a:r>
            <a:rPr lang="fr-FR" sz="1400" b="1" baseline="0"/>
            <a:t> et </a:t>
          </a:r>
          <a:r>
            <a:rPr lang="fr-FR" sz="1400" b="1"/>
            <a:t>GRECS &amp; BLACK-SCHOLES</a:t>
          </a:r>
        </a:p>
        <a:p>
          <a:endParaRPr lang="fr-FR" sz="1400"/>
        </a:p>
        <a:p>
          <a:r>
            <a:rPr lang="fr-FR" sz="1400"/>
            <a:t>Ce projet porte sur la valorisation des options et l'analyse de leur risque. Il est implémenté sous Excel avec des fonctions VBA personnalisées</a:t>
          </a:r>
        </a:p>
        <a:p>
          <a:endParaRPr lang="fr-FR" sz="1400"/>
        </a:p>
        <a:p>
          <a:r>
            <a:rPr lang="fr-FR" sz="1400" b="1"/>
            <a:t>OBJECTIF</a:t>
          </a:r>
        </a:p>
        <a:p>
          <a:endParaRPr lang="fr-FR" sz="1400"/>
        </a:p>
        <a:p>
          <a:r>
            <a:rPr lang="fr-FR" sz="1400"/>
            <a:t>Modéliser le comportement d'un portefeuille de 10 000 calls européens (Strike = 100) en calculant leur prix via Black-Scholes, en analysant leurs sensibilités (les grecs) et en décomposant quotidiennement les variations de valeur du book.</a:t>
          </a:r>
        </a:p>
        <a:p>
          <a:endParaRPr lang="fr-FR" sz="1400"/>
        </a:p>
        <a:p>
          <a:r>
            <a:rPr lang="fr-FR" sz="1400" b="1"/>
            <a:t>STRUCTURE DU FICHIER</a:t>
          </a:r>
        </a:p>
        <a:p>
          <a:endParaRPr lang="fr-FR" sz="1400"/>
        </a:p>
        <a:p>
          <a:r>
            <a:rPr lang="fr-FR" sz="1400"/>
            <a:t>Onglet Overview : pricing Call, Put et Straddle via Black-Scholes pour des spots de 50 à 150. Calcul de d1, d2, N(d1), N(d2) et des grecs Delta, Gamma, Vega, Thêta par formule analytique et par différences finies.</a:t>
          </a:r>
        </a:p>
        <a:p>
          <a:r>
            <a:rPr lang="fr-FR" sz="1400"/>
            <a:t>Onglet PnL : décomposition du P&amp;L sur 2 jours puis sur 5 jours. Pour chaque transition, le P&amp;L total est décomposé en Impact Delta, Impact Gamma, Impact Vega et Impact Thêta. Le P&amp;L inexpliqué mesure le résidu des approximations de Taylor.</a:t>
          </a:r>
        </a:p>
        <a:p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19</xdr:row>
      <xdr:rowOff>90487</xdr:rowOff>
    </xdr:from>
    <xdr:to>
      <xdr:col>6</xdr:col>
      <xdr:colOff>590550</xdr:colOff>
      <xdr:row>34</xdr:row>
      <xdr:rowOff>119062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C40714FC-A125-4FBA-B626-9353AC461B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19</xdr:row>
      <xdr:rowOff>90487</xdr:rowOff>
    </xdr:from>
    <xdr:to>
      <xdr:col>12</xdr:col>
      <xdr:colOff>714375</xdr:colOff>
      <xdr:row>34</xdr:row>
      <xdr:rowOff>119062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1AE05B7-CC6F-4F71-8B0D-11D2F5BBAE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200025</xdr:colOff>
      <xdr:row>19</xdr:row>
      <xdr:rowOff>90487</xdr:rowOff>
    </xdr:from>
    <xdr:to>
      <xdr:col>20</xdr:col>
      <xdr:colOff>200025</xdr:colOff>
      <xdr:row>34</xdr:row>
      <xdr:rowOff>123825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80494090-D571-4CCB-9B74-78666650EC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409575</xdr:colOff>
      <xdr:row>35</xdr:row>
      <xdr:rowOff>80962</xdr:rowOff>
    </xdr:from>
    <xdr:to>
      <xdr:col>21</xdr:col>
      <xdr:colOff>495300</xdr:colOff>
      <xdr:row>50</xdr:row>
      <xdr:rowOff>109537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A836F1AE-94FA-4088-A441-2E2D2B4AD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76200</xdr:colOff>
      <xdr:row>35</xdr:row>
      <xdr:rowOff>157162</xdr:rowOff>
    </xdr:from>
    <xdr:to>
      <xdr:col>6</xdr:col>
      <xdr:colOff>590550</xdr:colOff>
      <xdr:row>50</xdr:row>
      <xdr:rowOff>57150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A04C047D-32C6-4D94-8E0A-65CEA81355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35</xdr:row>
      <xdr:rowOff>157162</xdr:rowOff>
    </xdr:from>
    <xdr:to>
      <xdr:col>12</xdr:col>
      <xdr:colOff>704850</xdr:colOff>
      <xdr:row>50</xdr:row>
      <xdr:rowOff>19050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38E5A966-E656-43FF-94A2-186C2D2CFE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47625</xdr:colOff>
      <xdr:row>51</xdr:row>
      <xdr:rowOff>23812</xdr:rowOff>
    </xdr:from>
    <xdr:to>
      <xdr:col>6</xdr:col>
      <xdr:colOff>638175</xdr:colOff>
      <xdr:row>66</xdr:row>
      <xdr:rowOff>52387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682D8FE-DF72-4A02-8DF8-AF330C08EE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123824</xdr:colOff>
      <xdr:row>51</xdr:row>
      <xdr:rowOff>52387</xdr:rowOff>
    </xdr:from>
    <xdr:to>
      <xdr:col>12</xdr:col>
      <xdr:colOff>714375</xdr:colOff>
      <xdr:row>65</xdr:row>
      <xdr:rowOff>9525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0D775DFA-F97E-4BF8-9D77-B418408BD7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695325</xdr:colOff>
      <xdr:row>51</xdr:row>
      <xdr:rowOff>128587</xdr:rowOff>
    </xdr:from>
    <xdr:to>
      <xdr:col>22</xdr:col>
      <xdr:colOff>219075</xdr:colOff>
      <xdr:row>66</xdr:row>
      <xdr:rowOff>157162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4649F441-A0F4-4DBB-A8F9-03EE60FCCC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25</xdr:col>
      <xdr:colOff>64937</xdr:colOff>
      <xdr:row>23</xdr:row>
      <xdr:rowOff>54993</xdr:rowOff>
    </xdr:from>
    <xdr:ext cx="3117850" cy="1365250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1" name="Object 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D1B29A48-9FC3-4132-96C3-88A9870576BE}"/>
                </a:ext>
              </a:extLst>
            </xdr:cNvPr>
            <xdr:cNvSpPr txBox="1"/>
          </xdr:nvSpPr>
          <xdr:spPr>
            <a:xfrm>
              <a:off x="19378522" y="4392163"/>
              <a:ext cx="3117850" cy="1365250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fr-FR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fr-FR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fr-FR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fr-FR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fr-FR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func>
                          <m:funcPr>
                            <m:ctrlPr>
                              <a:rPr lang="fr-FR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fr-FR" i="0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ln</m:t>
                            </m:r>
                          </m:fName>
                          <m:e>
                            <m:d>
                              <m:dPr>
                                <m:ctrlPr>
                                  <a:rPr lang="fr-FR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fr-FR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r>
                                      <a:rPr lang="fr-FR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𝑆</m:t>
                                    </m:r>
                                  </m:num>
                                  <m:den>
                                    <m:r>
                                      <a:rPr lang="fr-FR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𝐾</m:t>
                                    </m:r>
                                  </m:den>
                                </m:f>
                              </m:e>
                            </m:d>
                          </m:e>
                        </m:func>
                        <m:r>
                          <a:rPr lang="fr-FR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+</m:t>
                        </m:r>
                        <m:d>
                          <m:dPr>
                            <m:ctrlPr>
                              <a:rPr lang="fr-FR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fr-FR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fr-FR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fr-FR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  <m:r>
                              <a:rPr lang="fr-FR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+</m:t>
                            </m:r>
                            <m:f>
                              <m:fPr>
                                <m:ctrlPr>
                                  <a:rPr lang="fr-FR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fr-FR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fr-FR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𝜎</m:t>
                                    </m:r>
                                  </m:e>
                                  <m:sup>
                                    <m:r>
                                      <a:rPr lang="fr-FR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p>
                              </m:num>
                              <m:den>
                                <m:r>
                                  <a:rPr lang="fr-FR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den>
                            </m:f>
                          </m:e>
                        </m:d>
                        <m:r>
                          <a:rPr lang="fr-FR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×</m:t>
                        </m:r>
                        <m:r>
                          <a:rPr lang="fr-FR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𝑇</m:t>
                        </m:r>
                      </m:num>
                      <m:den>
                        <m:r>
                          <a:rPr lang="fr-FR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𝜎</m:t>
                        </m:r>
                        <m:rad>
                          <m:radPr>
                            <m:degHide m:val="on"/>
                            <m:ctrlPr>
                              <a:rPr lang="fr-FR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fr-FR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</m:rad>
                      </m:den>
                    </m:f>
                  </m:oMath>
                </m:oMathPara>
              </a14:m>
              <a:endParaRPr lang="fr-FR"/>
            </a:p>
          </xdr:txBody>
        </xdr:sp>
      </mc:Choice>
      <mc:Fallback>
        <xdr:sp macro="" textlink="">
          <xdr:nvSpPr>
            <xdr:cNvPr id="11" name="Object 1">
              <a:extLst>
                <a:ext uri="{63B3BB69-23CF-44E3-9099-C40C66FF867C}">
                  <a14:compatExt xmlns:a14="http://schemas.microsoft.com/office/drawing/2010/main" spid="_x0000_s1033"/>
                </a:ext>
                <a:ext uri="{FF2B5EF4-FFF2-40B4-BE49-F238E27FC236}">
                  <a16:creationId xmlns:a16="http://schemas.microsoft.com/office/drawing/2014/main" id="{D1B29A48-9FC3-4132-96C3-88A9870576BE}"/>
                </a:ext>
              </a:extLst>
            </xdr:cNvPr>
            <xdr:cNvSpPr txBox="1"/>
          </xdr:nvSpPr>
          <xdr:spPr>
            <a:xfrm>
              <a:off x="19378522" y="4392163"/>
              <a:ext cx="3117850" cy="1365250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:r>
                <a:rPr lang="fr-FR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𝑑_1=(ln⁡(𝑆/𝐾)+(𝑟_𝑓+𝜎^2/2)×𝑇)/(𝜎√𝑇)</a:t>
              </a:r>
              <a:endParaRPr lang="fr-FR"/>
            </a:p>
          </xdr:txBody>
        </xdr:sp>
      </mc:Fallback>
    </mc:AlternateContent>
    <xdr:clientData/>
  </xdr:oneCellAnchor>
  <xdr:oneCellAnchor>
    <xdr:from>
      <xdr:col>25</xdr:col>
      <xdr:colOff>95250</xdr:colOff>
      <xdr:row>13</xdr:row>
      <xdr:rowOff>88900</xdr:rowOff>
    </xdr:from>
    <xdr:ext cx="2544799" cy="300660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2" name="Object 2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1D3CEDA4-3687-432A-A6E2-1F01D369C245}"/>
                </a:ext>
              </a:extLst>
            </xdr:cNvPr>
            <xdr:cNvSpPr txBox="1"/>
          </xdr:nvSpPr>
          <xdr:spPr>
            <a:xfrm>
              <a:off x="2381250" y="3841750"/>
              <a:ext cx="2544799" cy="300660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fr-FR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𝑐</m:t>
                    </m:r>
                    <m:r>
                      <a:rPr lang="fr-FR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a:rPr lang="fr-FR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𝑆</m:t>
                    </m:r>
                    <m:r>
                      <a:rPr lang="fr-FR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×</m:t>
                    </m:r>
                    <m:r>
                      <a:rPr lang="fr-FR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𝑁</m:t>
                    </m:r>
                    <m:d>
                      <m:dPr>
                        <m:ctrlPr>
                          <a:rPr lang="fr-FR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fr-FR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fr-FR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fr-FR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e>
                    </m:d>
                    <m:r>
                      <a:rPr lang="fr-FR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−</m:t>
                    </m:r>
                    <m:sSup>
                      <m:sSupPr>
                        <m:ctrlPr>
                          <a:rPr lang="fr-FR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FR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d>
                          <m:dPr>
                            <m:ctrlPr>
                              <a:rPr lang="fr-FR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fr-FR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fr-FR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fr-FR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fr-FR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  <m:r>
                              <a:rPr lang="fr-FR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×</m:t>
                            </m:r>
                            <m:r>
                              <a:rPr lang="fr-FR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</m:d>
                      </m:sup>
                    </m:sSup>
                    <m:r>
                      <a:rPr lang="fr-FR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×</m:t>
                    </m:r>
                    <m:r>
                      <a:rPr lang="fr-FR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𝐾</m:t>
                    </m:r>
                    <m:r>
                      <a:rPr lang="fr-FR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×</m:t>
                    </m:r>
                    <m:r>
                      <a:rPr lang="fr-FR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𝑁</m:t>
                    </m:r>
                    <m:d>
                      <m:dPr>
                        <m:ctrlPr>
                          <a:rPr lang="fr-FR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fr-FR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fr-FR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fr-FR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fr-FR"/>
            </a:p>
          </xdr:txBody>
        </xdr:sp>
      </mc:Choice>
      <mc:Fallback>
        <xdr:sp macro="" textlink="">
          <xdr:nvSpPr>
            <xdr:cNvPr id="12" name="Object 2">
              <a:extLst>
                <a:ext uri="{63B3BB69-23CF-44E3-9099-C40C66FF867C}">
                  <a14:compatExt xmlns:a14="http://schemas.microsoft.com/office/drawing/2010/main" spid="_x0000_s1035"/>
                </a:ext>
                <a:ext uri="{FF2B5EF4-FFF2-40B4-BE49-F238E27FC236}">
                  <a16:creationId xmlns:a16="http://schemas.microsoft.com/office/drawing/2014/main" id="{1D3CEDA4-3687-432A-A6E2-1F01D369C245}"/>
                </a:ext>
              </a:extLst>
            </xdr:cNvPr>
            <xdr:cNvSpPr txBox="1"/>
          </xdr:nvSpPr>
          <xdr:spPr>
            <a:xfrm>
              <a:off x="2381250" y="3841750"/>
              <a:ext cx="2544799" cy="300660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:r>
                <a:rPr lang="fr-FR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𝑐=𝑆×𝑁(𝑑_1 )−𝑒^((−𝑟_𝑓×𝑇) )×𝐾×𝑁(𝑑_2 )</a:t>
              </a:r>
              <a:endParaRPr lang="fr-FR"/>
            </a:p>
          </xdr:txBody>
        </xdr:sp>
      </mc:Fallback>
    </mc:AlternateContent>
    <xdr:clientData/>
  </xdr:oneCellAnchor>
  <xdr:oneCellAnchor>
    <xdr:from>
      <xdr:col>25</xdr:col>
      <xdr:colOff>107950</xdr:colOff>
      <xdr:row>17</xdr:row>
      <xdr:rowOff>69850</xdr:rowOff>
    </xdr:from>
    <xdr:ext cx="2766655" cy="300660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3" name="Object 3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2EB26D73-232E-4566-9BD5-D24D7FF10E39}"/>
                </a:ext>
              </a:extLst>
            </xdr:cNvPr>
            <xdr:cNvSpPr txBox="1"/>
          </xdr:nvSpPr>
          <xdr:spPr>
            <a:xfrm>
              <a:off x="2393950" y="4559300"/>
              <a:ext cx="2766655" cy="300660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fr-FR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𝑝</m:t>
                    </m:r>
                    <m:r>
                      <a:rPr lang="fr-FR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fr-FR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FR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d>
                          <m:dPr>
                            <m:ctrlPr>
                              <a:rPr lang="fr-FR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fr-FR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fr-FR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fr-FR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fr-FR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  <m:r>
                              <a:rPr lang="fr-FR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×</m:t>
                            </m:r>
                            <m:r>
                              <a:rPr lang="fr-FR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</m:d>
                      </m:sup>
                    </m:sSup>
                    <m:r>
                      <a:rPr lang="fr-FR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×</m:t>
                    </m:r>
                    <m:r>
                      <a:rPr lang="fr-FR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𝐾</m:t>
                    </m:r>
                    <m:r>
                      <a:rPr lang="fr-FR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×</m:t>
                    </m:r>
                    <m:r>
                      <a:rPr lang="fr-FR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𝑁</m:t>
                    </m:r>
                    <m:d>
                      <m:dPr>
                        <m:ctrlPr>
                          <a:rPr lang="fr-FR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fr-FR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fr-FR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fr-FR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fr-FR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</m:e>
                    </m:d>
                    <m:r>
                      <a:rPr lang="fr-FR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−</m:t>
                    </m:r>
                    <m:r>
                      <a:rPr lang="fr-FR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𝑆</m:t>
                    </m:r>
                    <m:r>
                      <a:rPr lang="fr-FR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×</m:t>
                    </m:r>
                    <m:r>
                      <a:rPr lang="fr-FR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𝑁</m:t>
                    </m:r>
                    <m:d>
                      <m:dPr>
                        <m:ctrlPr>
                          <a:rPr lang="fr-FR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fr-FR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fr-FR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fr-FR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fr-FR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fr-FR"/>
            </a:p>
          </xdr:txBody>
        </xdr:sp>
      </mc:Choice>
      <mc:Fallback>
        <xdr:sp macro="" textlink="">
          <xdr:nvSpPr>
            <xdr:cNvPr id="13" name="Object 3">
              <a:extLst>
                <a:ext uri="{63B3BB69-23CF-44E3-9099-C40C66FF867C}">
                  <a14:compatExt xmlns:a14="http://schemas.microsoft.com/office/drawing/2010/main" spid="_x0000_s1036"/>
                </a:ext>
                <a:ext uri="{FF2B5EF4-FFF2-40B4-BE49-F238E27FC236}">
                  <a16:creationId xmlns:a16="http://schemas.microsoft.com/office/drawing/2014/main" id="{2EB26D73-232E-4566-9BD5-D24D7FF10E39}"/>
                </a:ext>
              </a:extLst>
            </xdr:cNvPr>
            <xdr:cNvSpPr txBox="1"/>
          </xdr:nvSpPr>
          <xdr:spPr>
            <a:xfrm>
              <a:off x="2393950" y="4559300"/>
              <a:ext cx="2766655" cy="300660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:r>
                <a:rPr lang="fr-FR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𝑝=𝑒^((−𝑟_𝑓×𝑇) )×𝐾×𝑁(−𝑑_2 )−𝑆×𝑁(−𝑑_1 )</a:t>
              </a:r>
              <a:endParaRPr lang="fr-FR"/>
            </a:p>
          </xdr:txBody>
        </xdr:sp>
      </mc:Fallback>
    </mc:AlternateContent>
    <xdr:clientData/>
  </xdr:oneCellAnchor>
  <xdr:oneCellAnchor>
    <xdr:from>
      <xdr:col>25</xdr:col>
      <xdr:colOff>692150</xdr:colOff>
      <xdr:row>33</xdr:row>
      <xdr:rowOff>146050</xdr:rowOff>
    </xdr:from>
    <xdr:ext cx="1230593" cy="26609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4" name="Object 5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21E27290-2211-446E-B60E-1D316CEDD2C4}"/>
                </a:ext>
              </a:extLst>
            </xdr:cNvPr>
            <xdr:cNvSpPr txBox="1"/>
          </xdr:nvSpPr>
          <xdr:spPr>
            <a:xfrm>
              <a:off x="9074150" y="3714750"/>
              <a:ext cx="1230593" cy="266098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:r>
                <a:rPr lang="fr-FR" i="0">
                  <a:solidFill>
                    <a:srgbClr val="000000"/>
                  </a:solidFill>
                  <a:latin typeface="+mn-lt"/>
                </a:rPr>
                <a:t>Delta</a:t>
              </a:r>
              <a:r>
                <a:rPr lang="fr-FR" i="0" baseline="0">
                  <a:solidFill>
                    <a:srgbClr val="000000"/>
                  </a:solidFill>
                  <a:latin typeface="+mn-lt"/>
                </a:rPr>
                <a:t> call</a:t>
              </a:r>
              <a14:m>
                <m:oMath xmlns:m="http://schemas.openxmlformats.org/officeDocument/2006/math">
                  <m:r>
                    <a:rPr lang="fr-FR" i="1">
                      <a:solidFill>
                        <a:srgbClr val="000000"/>
                      </a:solidFill>
                      <a:latin typeface="Cambria Math" panose="02040503050406030204" pitchFamily="18" charset="0"/>
                    </a:rPr>
                    <m:t>=</m:t>
                  </m:r>
                  <m:r>
                    <a:rPr lang="fr-FR" sz="1100" i="1">
                      <a:effectLst/>
                      <a:latin typeface="+mn-lt"/>
                      <a:ea typeface="+mn-ea"/>
                      <a:cs typeface="+mn-cs"/>
                    </a:rPr>
                    <m:t>𝑁</m:t>
                  </m:r>
                  <m:d>
                    <m:dPr>
                      <m:ctrlPr>
                        <a:rPr lang="fr-FR" sz="1100" i="1">
                          <a:effectLst/>
                          <a:latin typeface="+mn-lt"/>
                          <a:ea typeface="+mn-ea"/>
                          <a:cs typeface="+mn-cs"/>
                        </a:rPr>
                      </m:ctrlPr>
                    </m:dPr>
                    <m:e>
                      <m:sSub>
                        <m:sSubPr>
                          <m:ctrlPr>
                            <a:rPr lang="fr-FR" sz="1100" i="1">
                              <a:effectLst/>
                              <a:latin typeface="+mn-lt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fr-FR" sz="1100" i="1">
                              <a:effectLst/>
                              <a:latin typeface="+mn-lt"/>
                              <a:ea typeface="+mn-ea"/>
                              <a:cs typeface="+mn-cs"/>
                            </a:rPr>
                            <m:t>𝑑</m:t>
                          </m:r>
                        </m:e>
                        <m:sub>
                          <m:r>
                            <a:rPr lang="fr-FR" sz="1100" i="1">
                              <a:effectLst/>
                              <a:latin typeface="+mn-lt"/>
                              <a:ea typeface="+mn-ea"/>
                              <a:cs typeface="+mn-cs"/>
                            </a:rPr>
                            <m:t>1</m:t>
                          </m:r>
                        </m:sub>
                      </m:sSub>
                    </m:e>
                  </m:d>
                </m:oMath>
              </a14:m>
              <a:endParaRPr lang="fr-FR"/>
            </a:p>
          </xdr:txBody>
        </xdr:sp>
      </mc:Choice>
      <mc:Fallback>
        <xdr:sp macro="" textlink="">
          <xdr:nvSpPr>
            <xdr:cNvPr id="14" name="Object 5">
              <a:extLst>
                <a:ext uri="{63B3BB69-23CF-44E3-9099-C40C66FF867C}">
                  <a14:compatExt xmlns:a14="http://schemas.microsoft.com/office/drawing/2010/main" spid="_x0000_s1038"/>
                </a:ext>
                <a:ext uri="{FF2B5EF4-FFF2-40B4-BE49-F238E27FC236}">
                  <a16:creationId xmlns:a16="http://schemas.microsoft.com/office/drawing/2014/main" id="{21E27290-2211-446E-B60E-1D316CEDD2C4}"/>
                </a:ext>
              </a:extLst>
            </xdr:cNvPr>
            <xdr:cNvSpPr txBox="1"/>
          </xdr:nvSpPr>
          <xdr:spPr>
            <a:xfrm>
              <a:off x="9074150" y="3714750"/>
              <a:ext cx="1230593" cy="266098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:r>
                <a:rPr lang="fr-FR" i="0">
                  <a:solidFill>
                    <a:srgbClr val="000000"/>
                  </a:solidFill>
                  <a:latin typeface="+mn-lt"/>
                </a:rPr>
                <a:t>Delta</a:t>
              </a:r>
              <a:r>
                <a:rPr lang="fr-FR" i="0" baseline="0">
                  <a:solidFill>
                    <a:srgbClr val="000000"/>
                  </a:solidFill>
                  <a:latin typeface="+mn-lt"/>
                </a:rPr>
                <a:t> call</a:t>
              </a:r>
              <a:r>
                <a:rPr lang="fr-FR" i="0">
                  <a:solidFill>
                    <a:srgbClr val="000000"/>
                  </a:solidFill>
                  <a:latin typeface="Cambria Math" panose="02040503050406030204" pitchFamily="18" charset="0"/>
                </a:rPr>
                <a:t>=</a:t>
              </a:r>
              <a:r>
                <a:rPr lang="fr-FR" sz="1100" i="0">
                  <a:effectLst/>
                  <a:latin typeface="+mn-lt"/>
                  <a:ea typeface="+mn-ea"/>
                  <a:cs typeface="+mn-cs"/>
                </a:rPr>
                <a:t>𝑁(𝑑_1 )</a:t>
              </a:r>
              <a:endParaRPr lang="fr-FR"/>
            </a:p>
          </xdr:txBody>
        </xdr:sp>
      </mc:Fallback>
    </mc:AlternateContent>
    <xdr:clientData/>
  </xdr:oneCellAnchor>
  <xdr:oneCellAnchor>
    <xdr:from>
      <xdr:col>27</xdr:col>
      <xdr:colOff>584200</xdr:colOff>
      <xdr:row>33</xdr:row>
      <xdr:rowOff>171450</xdr:rowOff>
    </xdr:from>
    <xdr:ext cx="1415324" cy="26609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5" name="Object 5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5C20CFFE-2421-4AAB-8A3D-DFCD80F8B513}"/>
                </a:ext>
              </a:extLst>
            </xdr:cNvPr>
            <xdr:cNvSpPr txBox="1"/>
          </xdr:nvSpPr>
          <xdr:spPr>
            <a:xfrm>
              <a:off x="10490200" y="3740150"/>
              <a:ext cx="1415324" cy="266098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:r>
                <a:rPr lang="fr-FR" i="0">
                  <a:solidFill>
                    <a:srgbClr val="000000"/>
                  </a:solidFill>
                  <a:latin typeface="+mn-lt"/>
                </a:rPr>
                <a:t>Delta</a:t>
              </a:r>
              <a:r>
                <a:rPr lang="fr-FR" i="0" baseline="0">
                  <a:solidFill>
                    <a:srgbClr val="000000"/>
                  </a:solidFill>
                  <a:latin typeface="+mn-lt"/>
                </a:rPr>
                <a:t> put</a:t>
              </a:r>
              <a14:m>
                <m:oMath xmlns:m="http://schemas.openxmlformats.org/officeDocument/2006/math">
                  <m:r>
                    <a:rPr lang="fr-FR" i="1">
                      <a:solidFill>
                        <a:srgbClr val="000000"/>
                      </a:solidFill>
                      <a:latin typeface="Cambria Math" panose="02040503050406030204" pitchFamily="18" charset="0"/>
                    </a:rPr>
                    <m:t>=</m:t>
                  </m:r>
                  <m:r>
                    <a:rPr lang="fr-FR" sz="1100" i="1">
                      <a:effectLst/>
                      <a:latin typeface="+mn-lt"/>
                      <a:ea typeface="+mn-ea"/>
                      <a:cs typeface="+mn-cs"/>
                    </a:rPr>
                    <m:t>𝑁</m:t>
                  </m:r>
                  <m:d>
                    <m:dPr>
                      <m:ctrlPr>
                        <a:rPr lang="fr-FR" sz="1100" i="1">
                          <a:effectLst/>
                          <a:latin typeface="+mn-lt"/>
                          <a:ea typeface="+mn-ea"/>
                          <a:cs typeface="+mn-cs"/>
                        </a:rPr>
                      </m:ctrlPr>
                    </m:dPr>
                    <m:e>
                      <m:sSub>
                        <m:sSubPr>
                          <m:ctrlPr>
                            <a:rPr lang="fr-FR" sz="1100" i="1">
                              <a:effectLst/>
                              <a:latin typeface="+mn-lt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fr-FR" sz="1100" i="1">
                              <a:effectLst/>
                              <a:latin typeface="+mn-lt"/>
                              <a:ea typeface="+mn-ea"/>
                              <a:cs typeface="+mn-cs"/>
                            </a:rPr>
                            <m:t>𝑑</m:t>
                          </m:r>
                        </m:e>
                        <m:sub>
                          <m:r>
                            <a:rPr lang="fr-FR" sz="1100" i="1">
                              <a:effectLst/>
                              <a:latin typeface="+mn-lt"/>
                              <a:ea typeface="+mn-ea"/>
                              <a:cs typeface="+mn-cs"/>
                            </a:rPr>
                            <m:t>1</m:t>
                          </m:r>
                        </m:sub>
                      </m:sSub>
                    </m:e>
                  </m:d>
                </m:oMath>
              </a14:m>
              <a:r>
                <a:rPr lang="fr-FR"/>
                <a:t> </a:t>
              </a:r>
              <a14:m>
                <m:oMath xmlns:m="http://schemas.openxmlformats.org/officeDocument/2006/math">
                  <m:r>
                    <a:rPr lang="fr-FR" sz="1100" b="0" i="1">
                      <a:effectLst/>
                      <a:latin typeface="+mn-lt"/>
                      <a:ea typeface="+mn-ea"/>
                      <a:cs typeface="+mn-cs"/>
                    </a:rPr>
                    <m:t>−</m:t>
                  </m:r>
                </m:oMath>
              </a14:m>
              <a:r>
                <a:rPr lang="fr-FR"/>
                <a:t>1</a:t>
              </a:r>
            </a:p>
          </xdr:txBody>
        </xdr:sp>
      </mc:Choice>
      <mc:Fallback>
        <xdr:sp macro="" textlink="">
          <xdr:nvSpPr>
            <xdr:cNvPr id="15" name="Object 5">
              <a:extLst>
                <a:ext uri="{63B3BB69-23CF-44E3-9099-C40C66FF867C}">
                  <a14:compatExt xmlns:a14="http://schemas.microsoft.com/office/drawing/2010/main" spid="_x0000_s1038"/>
                </a:ext>
                <a:ext uri="{FF2B5EF4-FFF2-40B4-BE49-F238E27FC236}">
                  <a16:creationId xmlns:a16="http://schemas.microsoft.com/office/drawing/2014/main" id="{5C20CFFE-2421-4AAB-8A3D-DFCD80F8B513}"/>
                </a:ext>
              </a:extLst>
            </xdr:cNvPr>
            <xdr:cNvSpPr txBox="1"/>
          </xdr:nvSpPr>
          <xdr:spPr>
            <a:xfrm>
              <a:off x="10490200" y="3740150"/>
              <a:ext cx="1415324" cy="266098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:r>
                <a:rPr lang="fr-FR" i="0">
                  <a:solidFill>
                    <a:srgbClr val="000000"/>
                  </a:solidFill>
                  <a:latin typeface="+mn-lt"/>
                </a:rPr>
                <a:t>Delta</a:t>
              </a:r>
              <a:r>
                <a:rPr lang="fr-FR" i="0" baseline="0">
                  <a:solidFill>
                    <a:srgbClr val="000000"/>
                  </a:solidFill>
                  <a:latin typeface="+mn-lt"/>
                </a:rPr>
                <a:t> put</a:t>
              </a:r>
              <a:r>
                <a:rPr lang="fr-FR" i="0">
                  <a:solidFill>
                    <a:srgbClr val="000000"/>
                  </a:solidFill>
                  <a:latin typeface="Cambria Math" panose="02040503050406030204" pitchFamily="18" charset="0"/>
                </a:rPr>
                <a:t>=</a:t>
              </a:r>
              <a:r>
                <a:rPr lang="fr-FR" sz="1100" i="0">
                  <a:effectLst/>
                  <a:latin typeface="+mn-lt"/>
                  <a:ea typeface="+mn-ea"/>
                  <a:cs typeface="+mn-cs"/>
                </a:rPr>
                <a:t>𝑁(𝑑_1 )</a:t>
              </a:r>
              <a:r>
                <a:rPr lang="fr-FR"/>
                <a:t> </a:t>
              </a:r>
              <a:r>
                <a:rPr lang="fr-FR" sz="1100" b="0" i="0">
                  <a:effectLst/>
                  <a:latin typeface="+mn-lt"/>
                  <a:ea typeface="+mn-ea"/>
                  <a:cs typeface="+mn-cs"/>
                </a:rPr>
                <a:t>−</a:t>
              </a:r>
              <a:r>
                <a:rPr lang="fr-FR"/>
                <a:t>1</a:t>
              </a:r>
            </a:p>
          </xdr:txBody>
        </xdr:sp>
      </mc:Fallback>
    </mc:AlternateContent>
    <xdr:clientData/>
  </xdr:oneCellAnchor>
  <xdr:oneCellAnchor>
    <xdr:from>
      <xdr:col>27</xdr:col>
      <xdr:colOff>657225</xdr:colOff>
      <xdr:row>36</xdr:row>
      <xdr:rowOff>66675</xdr:rowOff>
    </xdr:from>
    <xdr:ext cx="1451166" cy="19652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6" name="ZoneTexte 15">
              <a:extLst>
                <a:ext uri="{FF2B5EF4-FFF2-40B4-BE49-F238E27FC236}">
                  <a16:creationId xmlns:a16="http://schemas.microsoft.com/office/drawing/2014/main" id="{98C434CD-A619-46FF-9A12-345B932312D7}"/>
                </a:ext>
              </a:extLst>
            </xdr:cNvPr>
            <xdr:cNvSpPr txBox="1"/>
          </xdr:nvSpPr>
          <xdr:spPr>
            <a:xfrm>
              <a:off x="10563225" y="4187825"/>
              <a:ext cx="1451166" cy="19652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fr-FR">
                        <a:latin typeface="Cambria Math" panose="02040503050406030204" pitchFamily="18" charset="0"/>
                      </a:rPr>
                      <m:t>V</m:t>
                    </m:r>
                    <m:r>
                      <m:rPr>
                        <m:nor/>
                      </m:rPr>
                      <a:rPr lang="fr-FR" b="0" i="0">
                        <a:latin typeface="Cambria Math" panose="02040503050406030204" pitchFamily="18" charset="0"/>
                      </a:rPr>
                      <m:t>ega</m:t>
                    </m:r>
                    <m:r>
                      <m:rPr>
                        <m:nor/>
                      </m:rPr>
                      <a:rPr lang="fr-FR"/>
                      <m:t> = </m:t>
                    </m:r>
                    <m:r>
                      <m:rPr>
                        <m:nor/>
                      </m:rPr>
                      <a:rPr lang="fr-FR"/>
                      <m:t>S</m:t>
                    </m:r>
                    <m:r>
                      <m:rPr>
                        <m:nor/>
                      </m:rPr>
                      <a:rPr lang="fr-FR"/>
                      <m:t> </m:t>
                    </m:r>
                    <m:r>
                      <a:rPr lang="fr-FR" sz="1100" i="1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×</m:t>
                    </m:r>
                    <m:r>
                      <m:rPr>
                        <m:nor/>
                      </m:rPr>
                      <a:rPr lang="fr-FR"/>
                      <m:t> </m:t>
                    </m:r>
                    <m:r>
                      <m:rPr>
                        <m:nor/>
                      </m:rPr>
                      <a:rPr lang="fr-FR"/>
                      <m:t>N</m:t>
                    </m:r>
                    <m:r>
                      <m:rPr>
                        <m:nor/>
                      </m:rPr>
                      <a:rPr lang="fr-FR"/>
                      <m:t>'(</m:t>
                    </m:r>
                    <m:r>
                      <m:rPr>
                        <m:nor/>
                      </m:rPr>
                      <a:rPr lang="fr-FR"/>
                      <m:t>d</m:t>
                    </m:r>
                    <m:r>
                      <m:rPr>
                        <m:nor/>
                      </m:rPr>
                      <a:rPr lang="fr-FR"/>
                      <m:t>₁) </m:t>
                    </m:r>
                    <m:r>
                      <a:rPr lang="fr-FR" sz="1100" i="1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×</m:t>
                    </m:r>
                    <m:r>
                      <m:rPr>
                        <m:nor/>
                      </m:rPr>
                      <a:rPr lang="fr-FR"/>
                      <m:t> </m:t>
                    </m:r>
                    <m:rad>
                      <m:radPr>
                        <m:degHide m:val="on"/>
                        <m:ctrlPr>
                          <a:rPr lang="fr-FR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r>
                          <a:rPr lang="fr-FR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𝑇</m:t>
                        </m:r>
                      </m:e>
                    </m:rad>
                  </m:oMath>
                </m:oMathPara>
              </a14:m>
              <a:endParaRPr lang="fr-FR" sz="1100"/>
            </a:p>
          </xdr:txBody>
        </xdr:sp>
      </mc:Choice>
      <mc:Fallback>
        <xdr:sp macro="" textlink="">
          <xdr:nvSpPr>
            <xdr:cNvPr id="16" name="ZoneTexte 15">
              <a:extLst>
                <a:ext uri="{FF2B5EF4-FFF2-40B4-BE49-F238E27FC236}">
                  <a16:creationId xmlns:a16="http://schemas.microsoft.com/office/drawing/2014/main" id="{98C434CD-A619-46FF-9A12-345B932312D7}"/>
                </a:ext>
              </a:extLst>
            </xdr:cNvPr>
            <xdr:cNvSpPr txBox="1"/>
          </xdr:nvSpPr>
          <xdr:spPr>
            <a:xfrm>
              <a:off x="10563225" y="4187825"/>
              <a:ext cx="1451166" cy="19652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fr-FR" i="0">
                  <a:latin typeface="Cambria Math" panose="02040503050406030204" pitchFamily="18" charset="0"/>
                </a:rPr>
                <a:t>"V</a:t>
              </a:r>
              <a:r>
                <a:rPr lang="fr-FR" b="0" i="0">
                  <a:latin typeface="Cambria Math" panose="02040503050406030204" pitchFamily="18" charset="0"/>
                </a:rPr>
                <a:t>ega</a:t>
              </a:r>
              <a:r>
                <a:rPr lang="fr-FR" i="0">
                  <a:latin typeface="Cambria Math" panose="02040503050406030204" pitchFamily="18" charset="0"/>
                </a:rPr>
                <a:t> = S </a:t>
              </a:r>
              <a:r>
                <a:rPr lang="fr-FR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"×</a:t>
              </a:r>
              <a:r>
                <a:rPr lang="fr-F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</a:t>
              </a:r>
              <a:r>
                <a:rPr lang="fr-FR" i="0">
                  <a:latin typeface="Cambria Math" panose="02040503050406030204" pitchFamily="18" charset="0"/>
                </a:rPr>
                <a:t> N'(d₁) </a:t>
              </a:r>
              <a:r>
                <a:rPr lang="fr-FR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"×</a:t>
              </a:r>
              <a:r>
                <a:rPr lang="fr-F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</a:t>
              </a:r>
              <a:r>
                <a:rPr lang="fr-FR" i="0">
                  <a:latin typeface="Cambria Math" panose="02040503050406030204" pitchFamily="18" charset="0"/>
                </a:rPr>
                <a:t> </a:t>
              </a:r>
              <a:r>
                <a:rPr lang="fr-FR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 √𝑇</a:t>
              </a:r>
              <a:endParaRPr lang="fr-FR" sz="1100"/>
            </a:p>
          </xdr:txBody>
        </xdr:sp>
      </mc:Fallback>
    </mc:AlternateContent>
    <xdr:clientData/>
  </xdr:oneCellAnchor>
  <xdr:oneCellAnchor>
    <xdr:from>
      <xdr:col>26</xdr:col>
      <xdr:colOff>66675</xdr:colOff>
      <xdr:row>36</xdr:row>
      <xdr:rowOff>28575</xdr:rowOff>
    </xdr:from>
    <xdr:ext cx="1153521" cy="34778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7" name="ZoneTexte 16">
              <a:extLst>
                <a:ext uri="{FF2B5EF4-FFF2-40B4-BE49-F238E27FC236}">
                  <a16:creationId xmlns:a16="http://schemas.microsoft.com/office/drawing/2014/main" id="{4519BE05-91FB-4327-9F84-25F990E52A46}"/>
                </a:ext>
              </a:extLst>
            </xdr:cNvPr>
            <xdr:cNvSpPr txBox="1"/>
          </xdr:nvSpPr>
          <xdr:spPr>
            <a:xfrm>
              <a:off x="9210675" y="4149725"/>
              <a:ext cx="1153521" cy="3477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fr-FR"/>
                      <m:t>Gamma</m:t>
                    </m:r>
                    <m:r>
                      <m:rPr>
                        <m:nor/>
                      </m:rPr>
                      <a:rPr lang="fr-FR"/>
                      <m:t> =</m:t>
                    </m:r>
                    <m:f>
                      <m:fPr>
                        <m:ctrlPr>
                          <a:rPr lang="fr-FR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m:rPr>
                            <m:nor/>
                          </m:rPr>
                          <a:rPr lang="fr-FR" sz="1100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N</m:t>
                        </m:r>
                        <m:r>
                          <m:rPr>
                            <m:nor/>
                          </m:rPr>
                          <a:rPr lang="fr-FR" sz="1100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′(</m:t>
                        </m:r>
                        <m:r>
                          <m:rPr>
                            <m:nor/>
                          </m:rPr>
                          <a:rPr lang="fr-FR" sz="1100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d</m:t>
                        </m:r>
                        <m:r>
                          <m:rPr>
                            <m:nor/>
                          </m:rPr>
                          <a:rPr lang="fr-FR" sz="1100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₁) </m:t>
                        </m:r>
                      </m:num>
                      <m:den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</m:t>
                        </m:r>
                        <m:r>
                          <a:rPr lang="fr-FR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×</m:t>
                        </m:r>
                        <m:r>
                          <a:rPr lang="fr-FR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𝜎</m:t>
                        </m:r>
                        <m:rad>
                          <m:radPr>
                            <m:degHide m:val="on"/>
                            <m:ctrlPr>
                              <a:rPr lang="fr-FR" sz="110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radPr>
                          <m:deg/>
                          <m:e>
                            <m:r>
                              <a:rPr lang="fr-FR" sz="110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</m:rad>
                      </m:den>
                    </m:f>
                    <m:r>
                      <m:rPr>
                        <m:nor/>
                      </m:rPr>
                      <a:rPr lang="fr-FR"/>
                      <m:t> </m:t>
                    </m:r>
                  </m:oMath>
                </m:oMathPara>
              </a14:m>
              <a:endParaRPr lang="fr-FR" sz="1100"/>
            </a:p>
          </xdr:txBody>
        </xdr:sp>
      </mc:Choice>
      <mc:Fallback>
        <xdr:sp macro="" textlink="">
          <xdr:nvSpPr>
            <xdr:cNvPr id="17" name="ZoneTexte 16">
              <a:extLst>
                <a:ext uri="{FF2B5EF4-FFF2-40B4-BE49-F238E27FC236}">
                  <a16:creationId xmlns:a16="http://schemas.microsoft.com/office/drawing/2014/main" id="{4519BE05-91FB-4327-9F84-25F990E52A46}"/>
                </a:ext>
              </a:extLst>
            </xdr:cNvPr>
            <xdr:cNvSpPr txBox="1"/>
          </xdr:nvSpPr>
          <xdr:spPr>
            <a:xfrm>
              <a:off x="9210675" y="4149725"/>
              <a:ext cx="1153521" cy="3477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fr-FR" i="0">
                  <a:latin typeface="Cambria Math" panose="02040503050406030204" pitchFamily="18" charset="0"/>
                </a:rPr>
                <a:t>"Gamma =</a:t>
              </a:r>
              <a:r>
                <a:rPr lang="fr-FR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  "N′(d₁) " /(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</a:t>
              </a:r>
              <a:r>
                <a:rPr lang="fr-FR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×𝜎√𝑇) </a:t>
              </a:r>
              <a:r>
                <a:rPr lang="fr-F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</a:t>
              </a:r>
              <a:r>
                <a:rPr lang="fr-FR" i="0">
                  <a:latin typeface="Cambria Math" panose="02040503050406030204" pitchFamily="18" charset="0"/>
                </a:rPr>
                <a:t> </a:t>
              </a:r>
              <a:r>
                <a:rPr lang="fr-FR" i="0"/>
                <a:t>"</a:t>
              </a:r>
              <a:endParaRPr lang="fr-FR" sz="1100"/>
            </a:p>
          </xdr:txBody>
        </xdr:sp>
      </mc:Fallback>
    </mc:AlternateContent>
    <xdr:clientData/>
  </xdr:oneCellAnchor>
  <xdr:oneCellAnchor>
    <xdr:from>
      <xdr:col>26</xdr:col>
      <xdr:colOff>34925</xdr:colOff>
      <xdr:row>39</xdr:row>
      <xdr:rowOff>22225</xdr:rowOff>
    </xdr:from>
    <xdr:ext cx="3471976" cy="34964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8" name="ZoneTexte 17">
              <a:extLst>
                <a:ext uri="{FF2B5EF4-FFF2-40B4-BE49-F238E27FC236}">
                  <a16:creationId xmlns:a16="http://schemas.microsoft.com/office/drawing/2014/main" id="{5A73803A-8A79-4CBA-B1E5-5EB27B6245D6}"/>
                </a:ext>
              </a:extLst>
            </xdr:cNvPr>
            <xdr:cNvSpPr txBox="1"/>
          </xdr:nvSpPr>
          <xdr:spPr>
            <a:xfrm>
              <a:off x="19905133" y="7395281"/>
              <a:ext cx="3471976" cy="34964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fr-FR">
                        <a:latin typeface="Cambria Math" panose="02040503050406030204" pitchFamily="18" charset="0"/>
                      </a:rPr>
                      <m:t>T</m:t>
                    </m:r>
                    <m:r>
                      <m:rPr>
                        <m:nor/>
                      </m:rPr>
                      <a:rPr lang="fr-FR" b="0" i="0">
                        <a:latin typeface="Cambria Math" panose="02040503050406030204" pitchFamily="18" charset="0"/>
                      </a:rPr>
                      <m:t>heta</m:t>
                    </m:r>
                    <m:r>
                      <m:rPr>
                        <m:nor/>
                      </m:rPr>
                      <a:rPr lang="fr-FR" b="0" i="0">
                        <a:latin typeface="Cambria Math" panose="02040503050406030204" pitchFamily="18" charset="0"/>
                      </a:rPr>
                      <m:t> </m:t>
                    </m:r>
                    <m:r>
                      <m:rPr>
                        <m:nor/>
                      </m:rPr>
                      <a:rPr lang="fr-FR" b="0" i="0">
                        <a:latin typeface="Cambria Math" panose="02040503050406030204" pitchFamily="18" charset="0"/>
                      </a:rPr>
                      <m:t>call</m:t>
                    </m:r>
                    <m:r>
                      <m:rPr>
                        <m:nor/>
                      </m:rPr>
                      <a:rPr lang="fr-FR"/>
                      <m:t> =</m:t>
                    </m:r>
                    <m:f>
                      <m:fPr>
                        <m:ctrlPr>
                          <a:rPr lang="fr-FR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fr-FR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fr-FR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𝑆</m:t>
                        </m:r>
                        <m:r>
                          <a:rPr lang="fr-FR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×</m:t>
                        </m:r>
                        <m:r>
                          <m:rPr>
                            <m:nor/>
                          </m:rPr>
                          <a:rPr lang="fr-FR" sz="1100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N</m:t>
                        </m:r>
                        <m:r>
                          <m:rPr>
                            <m:nor/>
                          </m:rPr>
                          <a:rPr lang="fr-FR" sz="1100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′(</m:t>
                        </m:r>
                        <m:r>
                          <m:rPr>
                            <m:nor/>
                          </m:rPr>
                          <a:rPr lang="fr-FR" sz="1100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d</m:t>
                        </m:r>
                        <m:r>
                          <m:rPr>
                            <m:nor/>
                          </m:rPr>
                          <a:rPr lang="fr-FR" sz="1100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₁) </m:t>
                        </m:r>
                        <m:r>
                          <a:rPr lang="fr-FR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×</m:t>
                        </m:r>
                        <m:r>
                          <m:rPr>
                            <m:nor/>
                          </m:rPr>
                          <a:rPr lang="fr-FR" b="0" i="0"/>
                          <m:t> </m:t>
                        </m:r>
                        <m:r>
                          <m:rPr>
                            <m:nor/>
                          </m:rPr>
                          <a:rPr lang="el-GR">
                            <a:effectLst/>
                          </a:rPr>
                          <m:t>σ</m:t>
                        </m:r>
                      </m:num>
                      <m:den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  <m:rad>
                          <m:radPr>
                            <m:degHide m:val="on"/>
                            <m:ctrlPr>
                              <a:rPr lang="fr-FR" sz="110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radPr>
                          <m:deg/>
                          <m:e>
                            <m:r>
                              <a:rPr lang="fr-FR" sz="110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</m:rad>
                      </m:den>
                    </m:f>
                    <m:r>
                      <a:rPr lang="fr-FR" sz="1100" i="1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nor/>
                      </m:rPr>
                      <a:rPr lang="fr-FR"/>
                      <m:t> </m:t>
                    </m:r>
                    <m:sSub>
                      <m:sSubPr>
                        <m:ctrlPr>
                          <a:rPr lang="fr-FR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fr-FR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fr-FR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𝑓</m:t>
                        </m:r>
                      </m:sub>
                    </m:sSub>
                    <m:r>
                      <a:rPr lang="fr-FR" sz="1100" i="1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×</m:t>
                    </m:r>
                    <m:sSup>
                      <m:sSupPr>
                        <m:ctrlPr>
                          <a:rPr lang="fr-FR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fr-FR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d>
                          <m:dPr>
                            <m:ctrlPr>
                              <a:rPr lang="fr-FR" sz="110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fr-FR" sz="110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fr-FR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fr-FR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fr-FR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𝑓</m:t>
                                </m:r>
                              </m:sub>
                            </m:sSub>
                            <m:r>
                              <a:rPr lang="fr-FR" sz="110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×</m:t>
                            </m:r>
                            <m:r>
                              <a:rPr lang="fr-FR" sz="110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</m:d>
                      </m:sup>
                    </m:sSup>
                    <m:r>
                      <a:rPr lang="fr-FR" sz="1100" i="1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×</m:t>
                    </m:r>
                    <m:r>
                      <a:rPr lang="fr-FR" sz="1100" i="1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𝐾</m:t>
                    </m:r>
                    <m:r>
                      <a:rPr lang="fr-FR" sz="1100" i="1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×</m:t>
                    </m:r>
                    <m:r>
                      <a:rPr lang="fr-FR" sz="1100" i="1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𝑁</m:t>
                    </m:r>
                    <m:d>
                      <m:dPr>
                        <m:ctrlPr>
                          <a:rPr lang="fr-FR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fr-FR" sz="110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fr-FR" sz="110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b>
                            <m:r>
                              <a:rPr lang="fr-FR" sz="110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fr-FR" sz="1100"/>
            </a:p>
          </xdr:txBody>
        </xdr:sp>
      </mc:Choice>
      <mc:Fallback>
        <xdr:sp macro="" textlink="">
          <xdr:nvSpPr>
            <xdr:cNvPr id="18" name="ZoneTexte 17">
              <a:extLst>
                <a:ext uri="{FF2B5EF4-FFF2-40B4-BE49-F238E27FC236}">
                  <a16:creationId xmlns:a16="http://schemas.microsoft.com/office/drawing/2014/main" id="{5A73803A-8A79-4CBA-B1E5-5EB27B6245D6}"/>
                </a:ext>
              </a:extLst>
            </xdr:cNvPr>
            <xdr:cNvSpPr txBox="1"/>
          </xdr:nvSpPr>
          <xdr:spPr>
            <a:xfrm>
              <a:off x="19905133" y="7395281"/>
              <a:ext cx="3471976" cy="34964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fr-FR" i="0">
                  <a:latin typeface="Cambria Math" panose="02040503050406030204" pitchFamily="18" charset="0"/>
                </a:rPr>
                <a:t>"T</a:t>
              </a:r>
              <a:r>
                <a:rPr lang="fr-FR" b="0" i="0">
                  <a:latin typeface="Cambria Math" panose="02040503050406030204" pitchFamily="18" charset="0"/>
                </a:rPr>
                <a:t>heta call</a:t>
              </a:r>
              <a:r>
                <a:rPr lang="fr-FR" i="0">
                  <a:latin typeface="Cambria Math" panose="02040503050406030204" pitchFamily="18" charset="0"/>
                </a:rPr>
                <a:t> =</a:t>
              </a:r>
              <a:r>
                <a:rPr lang="fr-FR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  (−𝑆×"N′(d₁) " ×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fr-FR" b="0" i="0"/>
                <a:t> </a:t>
              </a:r>
              <a:r>
                <a:rPr lang="el-GR" i="0">
                  <a:effectLst/>
                </a:rPr>
                <a:t>σ</a:t>
              </a:r>
              <a:r>
                <a:rPr lang="fr-FR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 )/(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√</a:t>
              </a:r>
              <a:r>
                <a:rPr lang="fr-FR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𝑇)−</a:t>
              </a:r>
              <a:r>
                <a:rPr lang="fr-F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</a:t>
              </a:r>
              <a:r>
                <a:rPr lang="fr-FR" i="0">
                  <a:latin typeface="Cambria Math" panose="02040503050406030204" pitchFamily="18" charset="0"/>
                </a:rPr>
                <a:t> </a:t>
              </a:r>
              <a:r>
                <a:rPr lang="fr-FR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 𝑟_𝑓×𝑒^((−𝑟_𝑓×𝑇) )×𝐾×𝑁(𝑑_2 )</a:t>
              </a:r>
              <a:endParaRPr lang="fr-FR" sz="1100"/>
            </a:p>
          </xdr:txBody>
        </xdr:sp>
      </mc:Fallback>
    </mc:AlternateContent>
    <xdr:clientData/>
  </xdr:oneCellAnchor>
  <xdr:twoCellAnchor editAs="oneCell">
    <xdr:from>
      <xdr:col>27</xdr:col>
      <xdr:colOff>599057</xdr:colOff>
      <xdr:row>22</xdr:row>
      <xdr:rowOff>167736</xdr:rowOff>
    </xdr:from>
    <xdr:to>
      <xdr:col>33</xdr:col>
      <xdr:colOff>309952</xdr:colOff>
      <xdr:row>29</xdr:row>
      <xdr:rowOff>117854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9" name="Object 4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BE5C53EE-7FDF-48DD-8CF2-936E6CCBF352}"/>
                </a:ext>
              </a:extLst>
            </xdr:cNvPr>
            <xdr:cNvSpPr txBox="1"/>
          </xdr:nvSpPr>
          <xdr:spPr>
            <a:xfrm>
              <a:off x="21446227" y="4325189"/>
              <a:ext cx="4311650" cy="1208137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fr-FR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fr-FR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fr-FR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fr-FR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fr-FR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func>
                          <m:funcPr>
                            <m:ctrlPr>
                              <a:rPr lang="fr-FR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fr-FR" i="0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ln</m:t>
                            </m:r>
                          </m:fName>
                          <m:e>
                            <m:d>
                              <m:dPr>
                                <m:ctrlPr>
                                  <a:rPr lang="fr-FR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fr-FR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r>
                                      <a:rPr lang="fr-FR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𝑆</m:t>
                                    </m:r>
                                  </m:num>
                                  <m:den>
                                    <m:r>
                                      <a:rPr lang="fr-FR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𝐾</m:t>
                                    </m:r>
                                  </m:den>
                                </m:f>
                              </m:e>
                            </m:d>
                          </m:e>
                        </m:func>
                        <m:r>
                          <a:rPr lang="fr-FR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+</m:t>
                        </m:r>
                        <m:d>
                          <m:dPr>
                            <m:ctrlPr>
                              <a:rPr lang="fr-FR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fr-FR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fr-FR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fr-FR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  <m:r>
                              <a:rPr lang="fr-FR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−</m:t>
                            </m:r>
                            <m:f>
                              <m:fPr>
                                <m:ctrlPr>
                                  <a:rPr lang="fr-FR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fr-FR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fr-FR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𝜎</m:t>
                                    </m:r>
                                  </m:e>
                                  <m:sup>
                                    <m:r>
                                      <a:rPr lang="fr-FR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p>
                              </m:num>
                              <m:den>
                                <m:r>
                                  <a:rPr lang="fr-FR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den>
                            </m:f>
                          </m:e>
                        </m:d>
                        <m:r>
                          <a:rPr lang="fr-FR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×</m:t>
                        </m:r>
                        <m:r>
                          <a:rPr lang="fr-FR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𝑇</m:t>
                        </m:r>
                      </m:num>
                      <m:den>
                        <m:r>
                          <a:rPr lang="fr-FR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𝜎</m:t>
                        </m:r>
                        <m:rad>
                          <m:radPr>
                            <m:degHide m:val="on"/>
                            <m:ctrlPr>
                              <a:rPr lang="fr-FR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fr-FR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</m:rad>
                      </m:den>
                    </m:f>
                    <m:r>
                      <a:rPr lang="fr-FR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fr-FR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fr-FR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fr-FR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fr-FR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−</m:t>
                    </m:r>
                    <m:r>
                      <a:rPr lang="fr-FR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𝜎</m:t>
                    </m:r>
                    <m:rad>
                      <m:radPr>
                        <m:degHide m:val="on"/>
                        <m:ctrlPr>
                          <a:rPr lang="fr-FR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fr-FR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</m:rad>
                  </m:oMath>
                </m:oMathPara>
              </a14:m>
              <a:endParaRPr lang="fr-FR"/>
            </a:p>
          </xdr:txBody>
        </xdr:sp>
      </mc:Choice>
      <mc:Fallback>
        <xdr:sp macro="" textlink="">
          <xdr:nvSpPr>
            <xdr:cNvPr id="19" name="Object 4">
              <a:extLst>
                <a:ext uri="{63B3BB69-23CF-44E3-9099-C40C66FF867C}">
                  <a14:compatExt xmlns:a14="http://schemas.microsoft.com/office/drawing/2010/main" spid="_x0000_s1034"/>
                </a:ext>
                <a:ext uri="{FF2B5EF4-FFF2-40B4-BE49-F238E27FC236}">
                  <a16:creationId xmlns:a16="http://schemas.microsoft.com/office/drawing/2014/main" id="{BE5C53EE-7FDF-48DD-8CF2-936E6CCBF352}"/>
                </a:ext>
              </a:extLst>
            </xdr:cNvPr>
            <xdr:cNvSpPr txBox="1"/>
          </xdr:nvSpPr>
          <xdr:spPr>
            <a:xfrm>
              <a:off x="21446227" y="4325189"/>
              <a:ext cx="4311650" cy="1208137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:r>
                <a:rPr lang="fr-FR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𝑑_2=(ln⁡(𝑆/𝐾)+(𝑟_𝑓−𝜎^2/2)×𝑇)/(𝜎√𝑇)=𝑑_1−𝜎√𝑇</a:t>
              </a:r>
              <a:endParaRPr lang="fr-FR"/>
            </a:p>
          </xdr:txBody>
        </xdr:sp>
      </mc:Fallback>
    </mc:AlternateContent>
    <xdr:clientData/>
  </xdr:twoCellAnchor>
  <xdr:oneCellAnchor>
    <xdr:from>
      <xdr:col>26</xdr:col>
      <xdr:colOff>63853</xdr:colOff>
      <xdr:row>41</xdr:row>
      <xdr:rowOff>59973</xdr:rowOff>
    </xdr:from>
    <xdr:ext cx="3454920" cy="34964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0" name="ZoneTexte 19">
              <a:extLst>
                <a:ext uri="{FF2B5EF4-FFF2-40B4-BE49-F238E27FC236}">
                  <a16:creationId xmlns:a16="http://schemas.microsoft.com/office/drawing/2014/main" id="{94FC1F72-60C0-439B-A005-0BE9C1B809BA}"/>
                </a:ext>
              </a:extLst>
            </xdr:cNvPr>
            <xdr:cNvSpPr txBox="1"/>
          </xdr:nvSpPr>
          <xdr:spPr>
            <a:xfrm>
              <a:off x="19934061" y="7803445"/>
              <a:ext cx="3454920" cy="34964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fr-FR">
                        <a:latin typeface="Cambria Math" panose="02040503050406030204" pitchFamily="18" charset="0"/>
                      </a:rPr>
                      <m:t>T</m:t>
                    </m:r>
                    <m:r>
                      <m:rPr>
                        <m:nor/>
                      </m:rPr>
                      <a:rPr lang="fr-FR" b="0" i="0">
                        <a:latin typeface="Cambria Math" panose="02040503050406030204" pitchFamily="18" charset="0"/>
                      </a:rPr>
                      <m:t>heta</m:t>
                    </m:r>
                    <m:r>
                      <m:rPr>
                        <m:nor/>
                      </m:rPr>
                      <a:rPr lang="fr-FR" b="0" i="0">
                        <a:latin typeface="Cambria Math" panose="02040503050406030204" pitchFamily="18" charset="0"/>
                      </a:rPr>
                      <m:t> </m:t>
                    </m:r>
                    <m:r>
                      <m:rPr>
                        <m:nor/>
                      </m:rPr>
                      <a:rPr lang="fr-FR" b="0" i="0">
                        <a:latin typeface="Cambria Math" panose="02040503050406030204" pitchFamily="18" charset="0"/>
                      </a:rPr>
                      <m:t>put</m:t>
                    </m:r>
                    <m:r>
                      <m:rPr>
                        <m:nor/>
                      </m:rPr>
                      <a:rPr lang="fr-FR"/>
                      <m:t> =</m:t>
                    </m:r>
                    <m:f>
                      <m:fPr>
                        <m:ctrlPr>
                          <a:rPr lang="fr-FR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fr-FR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fr-FR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𝑆</m:t>
                        </m:r>
                        <m:r>
                          <a:rPr lang="fr-FR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×</m:t>
                        </m:r>
                        <m:r>
                          <m:rPr>
                            <m:nor/>
                          </m:rPr>
                          <a:rPr lang="fr-FR" sz="1100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N</m:t>
                        </m:r>
                        <m:r>
                          <m:rPr>
                            <m:nor/>
                          </m:rPr>
                          <a:rPr lang="fr-FR" sz="1100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′(</m:t>
                        </m:r>
                        <m:r>
                          <m:rPr>
                            <m:nor/>
                          </m:rPr>
                          <a:rPr lang="fr-FR" sz="1100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d</m:t>
                        </m:r>
                        <m:r>
                          <m:rPr>
                            <m:nor/>
                          </m:rPr>
                          <a:rPr lang="fr-FR" sz="1100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₁) </m:t>
                        </m:r>
                        <m:r>
                          <a:rPr lang="fr-FR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×</m:t>
                        </m:r>
                        <m:r>
                          <m:rPr>
                            <m:nor/>
                          </m:rPr>
                          <a:rPr lang="fr-FR" b="0" i="0"/>
                          <m:t> </m:t>
                        </m:r>
                        <m:r>
                          <m:rPr>
                            <m:nor/>
                          </m:rPr>
                          <a:rPr lang="el-GR">
                            <a:effectLst/>
                          </a:rPr>
                          <m:t>σ</m:t>
                        </m:r>
                      </m:num>
                      <m:den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  <m:rad>
                          <m:radPr>
                            <m:degHide m:val="on"/>
                            <m:ctrlPr>
                              <a:rPr lang="fr-FR" sz="110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radPr>
                          <m:deg/>
                          <m:e>
                            <m:r>
                              <a:rPr lang="fr-FR" sz="110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</m:rad>
                      </m:den>
                    </m:f>
                    <m:r>
                      <a:rPr lang="fr-FR" sz="1100" i="1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nor/>
                      </m:rPr>
                      <a:rPr lang="fr-FR"/>
                      <m:t> </m:t>
                    </m:r>
                    <m:sSub>
                      <m:sSubPr>
                        <m:ctrlPr>
                          <a:rPr lang="fr-FR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fr-FR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fr-FR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𝑓</m:t>
                        </m:r>
                      </m:sub>
                    </m:sSub>
                    <m:r>
                      <a:rPr lang="fr-FR" sz="1100" i="1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×</m:t>
                    </m:r>
                    <m:sSup>
                      <m:sSupPr>
                        <m:ctrlPr>
                          <a:rPr lang="fr-FR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fr-FR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d>
                          <m:dPr>
                            <m:ctrlPr>
                              <a:rPr lang="fr-FR" sz="110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fr-FR" sz="110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fr-FR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fr-FR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fr-FR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𝑓</m:t>
                                </m:r>
                              </m:sub>
                            </m:sSub>
                            <m:r>
                              <a:rPr lang="fr-FR" sz="110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×</m:t>
                            </m:r>
                            <m:r>
                              <a:rPr lang="fr-FR" sz="110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</m:d>
                      </m:sup>
                    </m:sSup>
                    <m:r>
                      <a:rPr lang="fr-FR" sz="1100" i="1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×</m:t>
                    </m:r>
                    <m:r>
                      <a:rPr lang="fr-FR" sz="1100" i="1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𝐾</m:t>
                    </m:r>
                    <m:r>
                      <a:rPr lang="fr-FR" sz="1100" i="1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×</m:t>
                    </m:r>
                    <m:r>
                      <a:rPr lang="fr-FR" sz="1100" i="1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𝑁</m:t>
                    </m:r>
                    <m:d>
                      <m:dPr>
                        <m:ctrlPr>
                          <a:rPr lang="fr-FR" sz="110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fr-FR" sz="110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fr-FR" sz="110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b>
                            <m:r>
                              <a:rPr lang="fr-FR" sz="110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fr-FR" sz="1100"/>
            </a:p>
          </xdr:txBody>
        </xdr:sp>
      </mc:Choice>
      <mc:Fallback>
        <xdr:sp macro="" textlink="">
          <xdr:nvSpPr>
            <xdr:cNvPr id="20" name="ZoneTexte 19">
              <a:extLst>
                <a:ext uri="{FF2B5EF4-FFF2-40B4-BE49-F238E27FC236}">
                  <a16:creationId xmlns:a16="http://schemas.microsoft.com/office/drawing/2014/main" id="{94FC1F72-60C0-439B-A005-0BE9C1B809BA}"/>
                </a:ext>
              </a:extLst>
            </xdr:cNvPr>
            <xdr:cNvSpPr txBox="1"/>
          </xdr:nvSpPr>
          <xdr:spPr>
            <a:xfrm>
              <a:off x="19934061" y="7803445"/>
              <a:ext cx="3454920" cy="34964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fr-FR" i="0">
                  <a:latin typeface="Cambria Math" panose="02040503050406030204" pitchFamily="18" charset="0"/>
                </a:rPr>
                <a:t>"T</a:t>
              </a:r>
              <a:r>
                <a:rPr lang="fr-FR" b="0" i="0">
                  <a:latin typeface="Cambria Math" panose="02040503050406030204" pitchFamily="18" charset="0"/>
                </a:rPr>
                <a:t>heta put</a:t>
              </a:r>
              <a:r>
                <a:rPr lang="fr-FR" i="0">
                  <a:latin typeface="Cambria Math" panose="02040503050406030204" pitchFamily="18" charset="0"/>
                </a:rPr>
                <a:t> =</a:t>
              </a:r>
              <a:r>
                <a:rPr lang="fr-FR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  (−𝑆×"N′(d₁) " ×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fr-FR" b="0" i="0"/>
                <a:t> </a:t>
              </a:r>
              <a:r>
                <a:rPr lang="el-GR" i="0">
                  <a:effectLst/>
                </a:rPr>
                <a:t>σ</a:t>
              </a:r>
              <a:r>
                <a:rPr lang="fr-FR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 )/(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√</a:t>
              </a:r>
              <a:r>
                <a:rPr lang="fr-FR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𝑇)+</a:t>
              </a:r>
              <a:r>
                <a:rPr lang="fr-F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</a:t>
              </a:r>
              <a:r>
                <a:rPr lang="fr-FR" i="0">
                  <a:latin typeface="Cambria Math" panose="02040503050406030204" pitchFamily="18" charset="0"/>
                </a:rPr>
                <a:t> </a:t>
              </a:r>
              <a:r>
                <a:rPr lang="fr-FR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 𝑟_𝑓×𝑒^((−𝑟_𝑓×𝑇) )×𝐾×𝑁(𝑑_2 )</a:t>
              </a:r>
              <a:endParaRPr lang="fr-FR" sz="11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lave\Desktop\MON%20PORTFOLIO\Put%20Call%20ESLSCA%202026.xlsm" TargetMode="External"/><Relationship Id="rId1" Type="http://schemas.openxmlformats.org/officeDocument/2006/relationships/externalLinkPath" Target="Put%20Call%20ESLSCA%20202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verview"/>
      <sheetName val="Feuil1"/>
      <sheetName val="PnL"/>
      <sheetName val="Stock"/>
      <sheetName val="Option"/>
      <sheetName val="Onglets suivants sont des notes"/>
      <sheetName val="Black and Scholes"/>
      <sheetName val="Parametres influant prix option"/>
      <sheetName val="VaR"/>
      <sheetName val="exemple call"/>
      <sheetName val="Recap"/>
      <sheetName val="Anales 2024"/>
      <sheetName val="Anales 2025"/>
      <sheetName val="Presentation"/>
      <sheetName val="Strategie"/>
    </sheetNames>
    <sheetDataSet>
      <sheetData sheetId="0">
        <row r="8">
          <cell r="E8">
            <v>50</v>
          </cell>
          <cell r="F8">
            <v>0</v>
          </cell>
          <cell r="H8">
            <v>50</v>
          </cell>
          <cell r="I8">
            <v>50</v>
          </cell>
          <cell r="L8">
            <v>9.4310908807501757E-4</v>
          </cell>
          <cell r="M8">
            <v>50.000943109088084</v>
          </cell>
          <cell r="N8">
            <v>50.001886218176161</v>
          </cell>
          <cell r="Q8">
            <v>3.8352514633650239E-4</v>
          </cell>
          <cell r="R8">
            <v>-0.99961647485366711</v>
          </cell>
          <cell r="S8">
            <v>1.3860724117063707E-4</v>
          </cell>
          <cell r="U8">
            <v>7.2294461920792294E-2</v>
          </cell>
          <cell r="W8">
            <v>-1.8811783062446788E-5</v>
          </cell>
          <cell r="X8">
            <v>-1.8811783064620613E-5</v>
          </cell>
        </row>
        <row r="9">
          <cell r="E9">
            <v>60</v>
          </cell>
          <cell r="F9">
            <v>0</v>
          </cell>
          <cell r="H9">
            <v>40</v>
          </cell>
          <cell r="I9">
            <v>40</v>
          </cell>
          <cell r="L9">
            <v>2.6111811907240604E-2</v>
          </cell>
          <cell r="M9">
            <v>40.026111811907242</v>
          </cell>
          <cell r="N9">
            <v>40.052223623814484</v>
          </cell>
          <cell r="Q9">
            <v>7.0797792076412406E-3</v>
          </cell>
          <cell r="R9">
            <v>-0.99292022079236975</v>
          </cell>
          <cell r="S9">
            <v>1.6377012910680339E-3</v>
          </cell>
          <cell r="U9">
            <v>1.1894461864541663</v>
          </cell>
          <cell r="W9">
            <v>-3.2159087080886259E-4</v>
          </cell>
          <cell r="X9">
            <v>-3.2159087081140569E-4</v>
          </cell>
        </row>
        <row r="10">
          <cell r="E10">
            <v>70</v>
          </cell>
          <cell r="F10">
            <v>0</v>
          </cell>
          <cell r="H10">
            <v>30</v>
          </cell>
          <cell r="I10">
            <v>30</v>
          </cell>
          <cell r="L10">
            <v>0.24810989689245078</v>
          </cell>
          <cell r="M10">
            <v>30.248109896892448</v>
          </cell>
          <cell r="N10">
            <v>30.496219793784899</v>
          </cell>
          <cell r="Q10">
            <v>4.6211065241109961E-2</v>
          </cell>
          <cell r="R10">
            <v>-0.9537889347588977</v>
          </cell>
          <cell r="S10">
            <v>6.9107100595697515E-3</v>
          </cell>
          <cell r="U10">
            <v>6.7726653074209082</v>
          </cell>
          <cell r="W10">
            <v>-1.8523678420200862E-3</v>
          </cell>
          <cell r="X10">
            <v>-1.8523678420194756E-3</v>
          </cell>
        </row>
        <row r="11">
          <cell r="E11">
            <v>80</v>
          </cell>
          <cell r="F11">
            <v>0</v>
          </cell>
          <cell r="H11">
            <v>20</v>
          </cell>
          <cell r="I11">
            <v>20</v>
          </cell>
          <cell r="L11">
            <v>1.1859295132104275</v>
          </cell>
          <cell r="M11">
            <v>21.185929513210418</v>
          </cell>
          <cell r="N11">
            <v>22.371859026420847</v>
          </cell>
          <cell r="Q11">
            <v>0.15496283365969893</v>
          </cell>
          <cell r="R11">
            <v>-0.84503716634029447</v>
          </cell>
          <cell r="S11">
            <v>1.4883944282451097E-2</v>
          </cell>
          <cell r="U11">
            <v>19.035811297812867</v>
          </cell>
          <cell r="W11">
            <v>-5.2192717664247823E-3</v>
          </cell>
          <cell r="X11">
            <v>-5.2192717664176769E-3</v>
          </cell>
        </row>
        <row r="12">
          <cell r="E12">
            <v>90</v>
          </cell>
          <cell r="F12">
            <v>0</v>
          </cell>
          <cell r="H12">
            <v>10</v>
          </cell>
          <cell r="I12">
            <v>10</v>
          </cell>
          <cell r="L12">
            <v>3.5891081160547964</v>
          </cell>
          <cell r="M12">
            <v>13.589108116054797</v>
          </cell>
          <cell r="N12">
            <v>17.178216232109595</v>
          </cell>
          <cell r="Q12">
            <v>0.33479598109389136</v>
          </cell>
          <cell r="R12">
            <v>-0.66520401890611447</v>
          </cell>
          <cell r="S12">
            <v>2.0229819573811564E-2</v>
          </cell>
          <cell r="U12">
            <v>32.768543862119735</v>
          </cell>
          <cell r="W12">
            <v>-8.9850830877420407E-3</v>
          </cell>
          <cell r="X12">
            <v>-8.9850830877491461E-3</v>
          </cell>
        </row>
        <row r="13">
          <cell r="E13">
            <v>100</v>
          </cell>
          <cell r="F13">
            <v>0</v>
          </cell>
          <cell r="H13">
            <v>0</v>
          </cell>
          <cell r="I13">
            <v>0</v>
          </cell>
          <cell r="L13">
            <v>7.9655674554057976</v>
          </cell>
          <cell r="M13">
            <v>7.9655674554057976</v>
          </cell>
          <cell r="N13">
            <v>15.931134910811595</v>
          </cell>
          <cell r="Q13">
            <v>0.53977824704033051</v>
          </cell>
          <cell r="R13">
            <v>-0.46022175295966905</v>
          </cell>
          <cell r="S13">
            <v>1.9844113046417533E-2</v>
          </cell>
          <cell r="U13">
            <v>39.695091005383709</v>
          </cell>
          <cell r="W13">
            <v>-1.0882945951240508E-2</v>
          </cell>
          <cell r="X13">
            <v>-1.0882945951240508E-2</v>
          </cell>
        </row>
        <row r="14">
          <cell r="E14">
            <v>110</v>
          </cell>
          <cell r="F14">
            <v>10</v>
          </cell>
          <cell r="H14">
            <v>0</v>
          </cell>
          <cell r="I14">
            <v>10</v>
          </cell>
          <cell r="L14">
            <v>14.292010941409888</v>
          </cell>
          <cell r="M14">
            <v>4.2920109414098873</v>
          </cell>
          <cell r="N14">
            <v>18.584021882819776</v>
          </cell>
          <cell r="Q14">
            <v>0.71776928083184277</v>
          </cell>
          <cell r="R14">
            <v>-0.28223071916815456</v>
          </cell>
          <cell r="S14">
            <v>1.5356186627827494E-2</v>
          </cell>
          <cell r="U14">
            <v>37.153850016177699</v>
          </cell>
          <cell r="W14">
            <v>-1.0187340453716942E-2</v>
          </cell>
          <cell r="X14">
            <v>-1.0187340453716054E-2</v>
          </cell>
        </row>
        <row r="15">
          <cell r="E15">
            <v>120</v>
          </cell>
          <cell r="F15">
            <v>20</v>
          </cell>
          <cell r="H15">
            <v>0</v>
          </cell>
          <cell r="I15">
            <v>20</v>
          </cell>
          <cell r="L15">
            <v>22.147298810578143</v>
          </cell>
          <cell r="M15">
            <v>2.1472988105781452</v>
          </cell>
          <cell r="N15">
            <v>24.294597621156289</v>
          </cell>
          <cell r="Q15">
            <v>0.84401646932700025</v>
          </cell>
          <cell r="R15">
            <v>-0.15598353067300424</v>
          </cell>
          <cell r="S15">
            <v>9.966561451789523E-3</v>
          </cell>
          <cell r="U15">
            <v>28.677569532417024</v>
          </cell>
          <cell r="W15">
            <v>-7.8638244378730349E-3</v>
          </cell>
          <cell r="X15">
            <v>-7.8638244378730349E-3</v>
          </cell>
        </row>
        <row r="16">
          <cell r="E16">
            <v>130</v>
          </cell>
          <cell r="F16">
            <v>30</v>
          </cell>
          <cell r="H16">
            <v>0</v>
          </cell>
          <cell r="I16">
            <v>30</v>
          </cell>
          <cell r="L16">
            <v>31.008871615968598</v>
          </cell>
          <cell r="M16">
            <v>1.0088716159686002</v>
          </cell>
          <cell r="N16">
            <v>32.017743231937196</v>
          </cell>
          <cell r="Q16">
            <v>0.92089980896004742</v>
          </cell>
          <cell r="R16">
            <v>-7.9100191039962117E-2</v>
          </cell>
          <cell r="S16">
            <v>5.6660961594513044E-3</v>
          </cell>
          <cell r="U16">
            <v>19.125872567045121</v>
          </cell>
          <cell r="W16">
            <v>-5.2423015799867301E-3</v>
          </cell>
          <cell r="X16">
            <v>-5.2423015799889505E-3</v>
          </cell>
        </row>
        <row r="17">
          <cell r="E17">
            <v>140</v>
          </cell>
          <cell r="F17">
            <v>40</v>
          </cell>
          <cell r="H17">
            <v>0</v>
          </cell>
          <cell r="I17">
            <v>40</v>
          </cell>
          <cell r="L17">
            <v>40.450032451908108</v>
          </cell>
          <cell r="M17">
            <v>0.45003245190810753</v>
          </cell>
          <cell r="N17">
            <v>40.900064903816215</v>
          </cell>
          <cell r="Q17">
            <v>0.96258750367090218</v>
          </cell>
          <cell r="R17">
            <v>-3.7412496329104816E-2</v>
          </cell>
          <cell r="S17">
            <v>2.912172131015829E-3</v>
          </cell>
          <cell r="U17">
            <v>11.405263281133671</v>
          </cell>
          <cell r="W17">
            <v>-3.1215246734319635E-3</v>
          </cell>
          <cell r="X17">
            <v>-3.1215246734309088E-3</v>
          </cell>
        </row>
        <row r="18">
          <cell r="E18">
            <v>150</v>
          </cell>
          <cell r="F18">
            <v>50</v>
          </cell>
          <cell r="H18">
            <v>0</v>
          </cell>
          <cell r="I18">
            <v>50</v>
          </cell>
          <cell r="L18">
            <v>50.192475323297067</v>
          </cell>
          <cell r="M18">
            <v>0.19247532329705244</v>
          </cell>
          <cell r="N18">
            <v>50.38495064659412</v>
          </cell>
          <cell r="Q18">
            <v>0.98326320159287184</v>
          </cell>
          <cell r="R18">
            <v>-1.6736798407126535E-2</v>
          </cell>
          <cell r="S18">
            <v>1.3852478597932026E-3</v>
          </cell>
          <cell r="U18">
            <v>6.2388981944067723</v>
          </cell>
          <cell r="W18">
            <v>-1.7024791712216825E-3</v>
          </cell>
          <cell r="X18">
            <v>-1.7024791711945098E-3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CADAE-C91A-4DD8-A101-4242825CB1B7}">
  <sheetPr codeName="Feuil3"/>
  <dimension ref="A1"/>
  <sheetViews>
    <sheetView tabSelected="1" workbookViewId="0">
      <selection activeCell="A2" sqref="A2"/>
    </sheetView>
  </sheetViews>
  <sheetFormatPr baseColWidth="10" defaultRowHeight="14.5" x14ac:dyDescent="0.3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8DDCF-E179-4823-902D-B089F86A3CD0}">
  <sheetPr codeName="Feuil1"/>
  <dimension ref="A1:AA75"/>
  <sheetViews>
    <sheetView topLeftCell="D1" zoomScale="72" zoomScaleNormal="72" workbookViewId="0">
      <selection activeCell="Y6" sqref="Y6"/>
    </sheetView>
  </sheetViews>
  <sheetFormatPr baseColWidth="10" defaultRowHeight="14.5" x14ac:dyDescent="0.35"/>
  <cols>
    <col min="2" max="2" width="13" bestFit="1" customWidth="1"/>
  </cols>
  <sheetData>
    <row r="1" spans="1:26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6" ht="15" thickBot="1" x14ac:dyDescent="0.4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6" x14ac:dyDescent="0.35">
      <c r="A3" s="1"/>
      <c r="B3" s="2" t="s">
        <v>0</v>
      </c>
      <c r="C3" s="3">
        <v>100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6" ht="15" thickBot="1" x14ac:dyDescent="0.4">
      <c r="A4" s="1"/>
      <c r="B4" s="4" t="s">
        <v>1</v>
      </c>
      <c r="C4" s="5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6" ht="15" thickBot="1" x14ac:dyDescent="0.4">
      <c r="A5" s="1"/>
      <c r="B5" s="6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6" ht="16" thickBot="1" x14ac:dyDescent="0.4">
      <c r="A6" s="1"/>
      <c r="B6" s="2" t="s">
        <v>2</v>
      </c>
      <c r="C6" s="7">
        <v>0</v>
      </c>
      <c r="D6" s="1"/>
      <c r="E6" s="61"/>
      <c r="F6" s="59" t="s">
        <v>3</v>
      </c>
      <c r="G6" s="62"/>
      <c r="H6" s="62"/>
      <c r="I6" s="62"/>
      <c r="J6" s="62"/>
      <c r="K6" s="62"/>
      <c r="L6" s="62"/>
      <c r="M6" s="62"/>
      <c r="N6" s="60"/>
      <c r="O6" s="59" t="s">
        <v>4</v>
      </c>
      <c r="P6" s="60"/>
      <c r="Q6" s="63" t="s">
        <v>5</v>
      </c>
      <c r="R6" s="64"/>
      <c r="S6" s="59" t="s">
        <v>6</v>
      </c>
      <c r="T6" s="60"/>
      <c r="U6" s="63" t="s">
        <v>7</v>
      </c>
      <c r="V6" s="64"/>
      <c r="W6" s="59" t="s">
        <v>8</v>
      </c>
      <c r="X6" s="60"/>
      <c r="Y6" s="1"/>
    </row>
    <row r="7" spans="1:26" ht="15" thickBot="1" x14ac:dyDescent="0.4">
      <c r="A7" s="1"/>
      <c r="B7" s="4" t="s">
        <v>9</v>
      </c>
      <c r="C7" s="8">
        <v>0.2</v>
      </c>
      <c r="D7" s="1"/>
      <c r="E7" s="61"/>
      <c r="F7" s="9" t="s">
        <v>10</v>
      </c>
      <c r="G7" s="10" t="s">
        <v>11</v>
      </c>
      <c r="H7" s="11" t="s">
        <v>12</v>
      </c>
      <c r="I7" s="12" t="s">
        <v>13</v>
      </c>
      <c r="J7" s="13" t="s">
        <v>14</v>
      </c>
      <c r="K7" s="12" t="s">
        <v>15</v>
      </c>
      <c r="L7" s="14" t="s">
        <v>11</v>
      </c>
      <c r="M7" s="11" t="s">
        <v>12</v>
      </c>
      <c r="N7" s="12" t="s">
        <v>13</v>
      </c>
      <c r="O7" s="9" t="s">
        <v>11</v>
      </c>
      <c r="P7" s="15" t="s">
        <v>12</v>
      </c>
      <c r="Q7" s="16" t="s">
        <v>11</v>
      </c>
      <c r="R7" s="17" t="s">
        <v>12</v>
      </c>
      <c r="S7" s="9" t="s">
        <v>11</v>
      </c>
      <c r="T7" s="15" t="s">
        <v>12</v>
      </c>
      <c r="U7" s="16" t="s">
        <v>11</v>
      </c>
      <c r="V7" s="17" t="s">
        <v>12</v>
      </c>
      <c r="W7" s="9" t="s">
        <v>11</v>
      </c>
      <c r="X7" s="15" t="s">
        <v>12</v>
      </c>
      <c r="Y7" s="1"/>
    </row>
    <row r="8" spans="1:26" ht="15" thickBot="1" x14ac:dyDescent="0.4">
      <c r="A8" s="1"/>
      <c r="B8" s="1"/>
      <c r="C8" s="1"/>
      <c r="D8" s="1"/>
      <c r="E8" s="18">
        <v>50</v>
      </c>
      <c r="F8" s="19">
        <f>MAX(0,E8-$C$3)</f>
        <v>0</v>
      </c>
      <c r="G8" s="20">
        <f>+MAX(E8-$C$3,0)</f>
        <v>0</v>
      </c>
      <c r="H8" s="20">
        <f>payoff($H$7,E8,$C$3)</f>
        <v>50</v>
      </c>
      <c r="I8" s="21">
        <f>++G8+H8</f>
        <v>50</v>
      </c>
      <c r="J8" s="22">
        <f>Optiond1(E8,$C$3,$C$4,$C$7,$C$6)</f>
        <v>-3.365735902799726</v>
      </c>
      <c r="K8" s="23">
        <f>Optiond2(E8,$C$3,$C$4,$C$7,$C$6)</f>
        <v>-3.5657359027997262</v>
      </c>
      <c r="L8" s="24">
        <f>PriceOption($L$7,E8,$C$3,$C$4,$C$7,$C$6)</f>
        <v>9.4310908807501757E-4</v>
      </c>
      <c r="M8" s="25">
        <f>PriceOption($M$7,E8,$C$3,$C$4,$C$7,$C$6)</f>
        <v>50.000943109088084</v>
      </c>
      <c r="N8" s="23">
        <f>PriceOption($N$7,E8,$C$3,$C$4,$C$7,$C$6)</f>
        <v>50.001886218176161</v>
      </c>
      <c r="O8" s="26">
        <f>OptionDelta($O$7,E8,$C$3,$C$4,$C$7,$C$6)</f>
        <v>3.8169879858202378E-4</v>
      </c>
      <c r="P8" s="27">
        <f>OptionDelta($P$7,E8,$C$3,$C$4,$C$7,$C$6)</f>
        <v>-0.99961830120141792</v>
      </c>
      <c r="Q8" s="28">
        <f>OptionDeltaFinDiff($Q$7,E8,$C$3,$C$4,$C$7,$C$6)</f>
        <v>3.8352514633650239E-4</v>
      </c>
      <c r="R8" s="29">
        <f>OptionDeltaFinDiff($R$7,E8,$C$3,$C$4,$C$7,$C$6)</f>
        <v>-0.99961647485366711</v>
      </c>
      <c r="S8" s="30">
        <f>OptionGamma($S$7,E8,$C$3,$C$4,$C$7,$C$6)</f>
        <v>1.3860724117063707E-4</v>
      </c>
      <c r="T8" s="31">
        <f>OptionGamma($T$7,E8,$C$3,$C$4,$C$7,$C$6)</f>
        <v>1.3860724106962152E-4</v>
      </c>
      <c r="U8" s="28">
        <f>OptionVega($U$7,E8,$C$3,$C$4,$C$7,$C$6)</f>
        <v>7.2294461920792294E-2</v>
      </c>
      <c r="V8" s="29">
        <f>OptionVega($V$7,E8,$C$3,$C$4,$C$7,$C$6)</f>
        <v>7.2294461920918707E-2</v>
      </c>
      <c r="W8" s="30">
        <f>OptionTheta($W$7,E8,$C$3,$C$4,$C$7,$C$6)</f>
        <v>-1.8811783062446788E-5</v>
      </c>
      <c r="X8" s="31">
        <f>OptionTheta($X$7,E8,$C$3,$C$4,$C$7,$C$6)</f>
        <v>-1.8811783064620613E-5</v>
      </c>
      <c r="Y8" s="1"/>
    </row>
    <row r="9" spans="1:26" ht="15" thickBot="1" x14ac:dyDescent="0.4">
      <c r="A9" s="1"/>
      <c r="B9" s="1"/>
      <c r="C9" s="1"/>
      <c r="D9" s="1"/>
      <c r="E9" s="32">
        <f>E8+10</f>
        <v>60</v>
      </c>
      <c r="F9" s="33">
        <f t="shared" ref="F9:F18" si="0">MAX(0,E9-$C$3)</f>
        <v>0</v>
      </c>
      <c r="G9" s="20">
        <f t="shared" ref="G9:G18" si="1">+MAX(E9-$C$3,0)</f>
        <v>0</v>
      </c>
      <c r="H9" s="34">
        <f>payoff($H$7,E9,$C$3)</f>
        <v>40</v>
      </c>
      <c r="I9" s="21">
        <f t="shared" ref="I9:I18" si="2">++G9+H9</f>
        <v>40</v>
      </c>
      <c r="J9" s="35">
        <f t="shared" ref="J9:J18" si="3">Optiond1(E9,$C$3,$C$4,$C$7,$C$6)</f>
        <v>-2.4541281188299533</v>
      </c>
      <c r="K9" s="36">
        <f t="shared" ref="K9:K18" si="4">Optiond2(E9,$C$3,$C$4,$C$7,$C$6)</f>
        <v>-2.6541281188299535</v>
      </c>
      <c r="L9" s="37">
        <f t="shared" ref="L9:L18" si="5">PriceOption($L$7,E9,$C$3,$C$4,$C$7,$C$6)</f>
        <v>2.6111811907240604E-2</v>
      </c>
      <c r="M9" s="38">
        <f t="shared" ref="M9:M18" si="6">PriceOption($M$7,E9,$C$3,$C$4,$C$7,$C$6)</f>
        <v>40.026111811907242</v>
      </c>
      <c r="N9" s="36">
        <f t="shared" ref="N9:N18" si="7">PriceOption($N$7,E9,$C$3,$C$4,$C$7,$C$6)</f>
        <v>40.052223623814484</v>
      </c>
      <c r="O9" s="39">
        <f t="shared" ref="O9:O18" si="8">OptionDelta($O$7,E9,$C$3,$C$4,$C$7,$C$6)</f>
        <v>7.0613327354170493E-3</v>
      </c>
      <c r="P9" s="40">
        <f t="shared" ref="P9:P18" si="9">OptionDelta($P$7,E9,$C$3,$C$4,$C$7,$C$6)</f>
        <v>-0.99293866726458291</v>
      </c>
      <c r="Q9" s="41">
        <f t="shared" ref="Q9:Q18" si="10">OptionDeltaFinDiff($Q$7,E9,$C$3,$C$4,$C$7,$C$6)</f>
        <v>7.0797792076412406E-3</v>
      </c>
      <c r="R9" s="42">
        <f t="shared" ref="R9:R18" si="11">OptionDeltaFinDiff($R$7,E9,$C$3,$C$4,$C$7,$C$6)</f>
        <v>-0.99292022079236975</v>
      </c>
      <c r="S9" s="43">
        <f t="shared" ref="S9:S18" si="12">OptionGamma($S$7,E9,$C$3,$C$4,$C$7,$C$6)</f>
        <v>1.6377012910680339E-3</v>
      </c>
      <c r="T9" s="44">
        <f t="shared" ref="T9:T18" si="13">OptionGamma($T$7,E9,$C$3,$C$4,$C$7,$C$6)</f>
        <v>1.6377012910437671E-3</v>
      </c>
      <c r="U9" s="41">
        <f t="shared" ref="U9:U18" si="14">OptionVega($U$7,E9,$C$3,$C$4,$C$7,$C$6)</f>
        <v>1.1894461864541663</v>
      </c>
      <c r="V9" s="42">
        <f t="shared" ref="V9:V18" si="15">OptionVega($V$7,E9,$C$3,$C$4,$C$7,$C$6)</f>
        <v>1.1894461864542905</v>
      </c>
      <c r="W9" s="43">
        <f t="shared" ref="W9:W18" si="16">OptionTheta($W$7,E9,$C$3,$C$4,$C$7,$C$6)</f>
        <v>-3.2159087080886259E-4</v>
      </c>
      <c r="X9" s="44">
        <f t="shared" ref="X9:X18" si="17">OptionTheta($X$7,E9,$C$3,$C$4,$C$7,$C$6)</f>
        <v>-3.2159087081140569E-4</v>
      </c>
      <c r="Y9" s="1"/>
    </row>
    <row r="10" spans="1:26" ht="15" thickBot="1" x14ac:dyDescent="0.4">
      <c r="A10" s="1"/>
      <c r="B10" s="1"/>
      <c r="C10" s="1"/>
      <c r="D10" s="1"/>
      <c r="E10" s="32">
        <f t="shared" ref="E10:E18" si="18">E9+10</f>
        <v>70</v>
      </c>
      <c r="F10" s="33">
        <f t="shared" si="0"/>
        <v>0</v>
      </c>
      <c r="G10" s="20">
        <f t="shared" si="1"/>
        <v>0</v>
      </c>
      <c r="H10" s="34">
        <f>payoff($H$7,E10,$C$3)</f>
        <v>30</v>
      </c>
      <c r="I10" s="21">
        <f t="shared" si="2"/>
        <v>30</v>
      </c>
      <c r="J10" s="35">
        <f t="shared" si="3"/>
        <v>-1.6833747196936621</v>
      </c>
      <c r="K10" s="36">
        <f t="shared" si="4"/>
        <v>-1.8833747196936621</v>
      </c>
      <c r="L10" s="37">
        <f t="shared" si="5"/>
        <v>0.24810989689245078</v>
      </c>
      <c r="M10" s="38">
        <f t="shared" si="6"/>
        <v>30.248109896892448</v>
      </c>
      <c r="N10" s="36">
        <f t="shared" si="7"/>
        <v>30.496219793784899</v>
      </c>
      <c r="O10" s="39">
        <f t="shared" si="8"/>
        <v>4.6151286992077295E-2</v>
      </c>
      <c r="P10" s="40">
        <f t="shared" si="9"/>
        <v>-0.95384871300792273</v>
      </c>
      <c r="Q10" s="41">
        <f t="shared" si="10"/>
        <v>4.6211065241109961E-2</v>
      </c>
      <c r="R10" s="42">
        <f t="shared" si="11"/>
        <v>-0.9537889347588977</v>
      </c>
      <c r="S10" s="43">
        <f t="shared" si="12"/>
        <v>6.9107100595697515E-3</v>
      </c>
      <c r="T10" s="44">
        <f t="shared" si="13"/>
        <v>6.9107100595767754E-3</v>
      </c>
      <c r="U10" s="41">
        <f t="shared" si="14"/>
        <v>6.7726653074209082</v>
      </c>
      <c r="V10" s="42">
        <f t="shared" si="15"/>
        <v>6.7726653074210219</v>
      </c>
      <c r="W10" s="43">
        <f t="shared" si="16"/>
        <v>-1.8523678420200862E-3</v>
      </c>
      <c r="X10" s="44">
        <f t="shared" si="17"/>
        <v>-1.8523678420194756E-3</v>
      </c>
      <c r="Y10" s="1"/>
    </row>
    <row r="11" spans="1:26" ht="15" thickBot="1" x14ac:dyDescent="0.4">
      <c r="A11" s="1"/>
      <c r="B11" s="1"/>
      <c r="C11" s="1"/>
      <c r="D11" s="1"/>
      <c r="E11" s="32">
        <f t="shared" si="18"/>
        <v>80</v>
      </c>
      <c r="F11" s="33">
        <f t="shared" si="0"/>
        <v>0</v>
      </c>
      <c r="G11" s="20">
        <f t="shared" si="1"/>
        <v>0</v>
      </c>
      <c r="H11" s="34">
        <f t="shared" ref="H11:H18" si="19">payoff($H$7,E11,$C$3)</f>
        <v>20</v>
      </c>
      <c r="I11" s="21">
        <f t="shared" si="2"/>
        <v>20</v>
      </c>
      <c r="J11" s="35">
        <f t="shared" si="3"/>
        <v>-1.0157177565710485</v>
      </c>
      <c r="K11" s="36">
        <f t="shared" si="4"/>
        <v>-1.2157177565710484</v>
      </c>
      <c r="L11" s="37">
        <f t="shared" si="5"/>
        <v>1.1859295132104275</v>
      </c>
      <c r="M11" s="38">
        <f t="shared" si="6"/>
        <v>21.185929513210418</v>
      </c>
      <c r="N11" s="36">
        <f t="shared" si="7"/>
        <v>22.371859026420847</v>
      </c>
      <c r="O11" s="39">
        <f t="shared" si="8"/>
        <v>0.15488190493561185</v>
      </c>
      <c r="P11" s="40">
        <f t="shared" si="9"/>
        <v>-0.84511809506438818</v>
      </c>
      <c r="Q11" s="41">
        <f t="shared" si="10"/>
        <v>0.15496283365969893</v>
      </c>
      <c r="R11" s="42">
        <f t="shared" si="11"/>
        <v>-0.84503716634029447</v>
      </c>
      <c r="S11" s="43">
        <f t="shared" si="12"/>
        <v>1.4883944282451097E-2</v>
      </c>
      <c r="T11" s="44">
        <f t="shared" si="13"/>
        <v>1.4883944282484404E-2</v>
      </c>
      <c r="U11" s="41">
        <f t="shared" si="14"/>
        <v>19.035811297812867</v>
      </c>
      <c r="V11" s="42">
        <f t="shared" si="15"/>
        <v>19.035811297813154</v>
      </c>
      <c r="W11" s="43">
        <f t="shared" si="16"/>
        <v>-5.2192717664247823E-3</v>
      </c>
      <c r="X11" s="44">
        <f t="shared" si="17"/>
        <v>-5.2192717664176769E-3</v>
      </c>
      <c r="Y11" s="1"/>
    </row>
    <row r="12" spans="1:26" ht="15" thickBot="1" x14ac:dyDescent="0.4">
      <c r="A12" s="1"/>
      <c r="B12" s="1"/>
      <c r="C12" s="1"/>
      <c r="D12" s="1"/>
      <c r="E12" s="32">
        <f t="shared" si="18"/>
        <v>90</v>
      </c>
      <c r="F12" s="33">
        <f t="shared" si="0"/>
        <v>0</v>
      </c>
      <c r="G12" s="20">
        <f t="shared" si="1"/>
        <v>0</v>
      </c>
      <c r="H12" s="34">
        <f t="shared" si="19"/>
        <v>10</v>
      </c>
      <c r="I12" s="21">
        <f t="shared" si="2"/>
        <v>10</v>
      </c>
      <c r="J12" s="35">
        <f t="shared" si="3"/>
        <v>-0.42680257828913137</v>
      </c>
      <c r="K12" s="36">
        <f t="shared" si="4"/>
        <v>-0.62680257828913133</v>
      </c>
      <c r="L12" s="37">
        <f t="shared" si="5"/>
        <v>3.5891081160547964</v>
      </c>
      <c r="M12" s="38">
        <f t="shared" si="6"/>
        <v>13.589108116054797</v>
      </c>
      <c r="N12" s="36">
        <f t="shared" si="7"/>
        <v>17.178216232109595</v>
      </c>
      <c r="O12" s="39">
        <f t="shared" si="8"/>
        <v>0.33476156420276892</v>
      </c>
      <c r="P12" s="40">
        <f t="shared" si="9"/>
        <v>-0.66523843579723108</v>
      </c>
      <c r="Q12" s="41">
        <f t="shared" si="10"/>
        <v>0.33479598109389136</v>
      </c>
      <c r="R12" s="42">
        <f t="shared" si="11"/>
        <v>-0.66520401890611447</v>
      </c>
      <c r="S12" s="43">
        <f t="shared" si="12"/>
        <v>2.0229819573811564E-2</v>
      </c>
      <c r="T12" s="44">
        <f t="shared" si="13"/>
        <v>2.0229819573809368E-2</v>
      </c>
      <c r="U12" s="41">
        <f t="shared" si="14"/>
        <v>32.768543862119735</v>
      </c>
      <c r="V12" s="42">
        <f t="shared" si="15"/>
        <v>32.768543862120048</v>
      </c>
      <c r="W12" s="43">
        <f t="shared" si="16"/>
        <v>-8.9850830877420407E-3</v>
      </c>
      <c r="X12" s="44">
        <f t="shared" si="17"/>
        <v>-8.9850830877491461E-3</v>
      </c>
      <c r="Y12" s="1"/>
    </row>
    <row r="13" spans="1:26" ht="15" thickBot="1" x14ac:dyDescent="0.4">
      <c r="A13" s="1"/>
      <c r="B13" s="1"/>
      <c r="C13" s="1"/>
      <c r="D13" s="1"/>
      <c r="E13" s="32">
        <f t="shared" si="18"/>
        <v>100</v>
      </c>
      <c r="F13" s="33">
        <f t="shared" si="0"/>
        <v>0</v>
      </c>
      <c r="G13" s="20">
        <f t="shared" si="1"/>
        <v>0</v>
      </c>
      <c r="H13" s="34">
        <f t="shared" si="19"/>
        <v>0</v>
      </c>
      <c r="I13" s="21">
        <f t="shared" si="2"/>
        <v>0</v>
      </c>
      <c r="J13" s="35">
        <f t="shared" si="3"/>
        <v>0.10000000000000002</v>
      </c>
      <c r="K13" s="36">
        <f t="shared" si="4"/>
        <v>-9.9999999999999992E-2</v>
      </c>
      <c r="L13" s="37">
        <f t="shared" si="5"/>
        <v>7.9655674554057976</v>
      </c>
      <c r="M13" s="38">
        <f t="shared" si="6"/>
        <v>7.9655674554057976</v>
      </c>
      <c r="N13" s="36">
        <f t="shared" si="7"/>
        <v>15.931134910811595</v>
      </c>
      <c r="O13" s="39">
        <f t="shared" si="8"/>
        <v>0.53982783727702899</v>
      </c>
      <c r="P13" s="40">
        <f t="shared" si="9"/>
        <v>-0.46017216272297101</v>
      </c>
      <c r="Q13" s="41">
        <f t="shared" si="10"/>
        <v>0.53977824704033051</v>
      </c>
      <c r="R13" s="42">
        <f t="shared" si="11"/>
        <v>-0.46022175295966905</v>
      </c>
      <c r="S13" s="43">
        <f t="shared" si="12"/>
        <v>1.9844113046417533E-2</v>
      </c>
      <c r="T13" s="44">
        <f t="shared" si="13"/>
        <v>1.9844113046429968E-2</v>
      </c>
      <c r="U13" s="41">
        <f t="shared" si="14"/>
        <v>39.695091005383709</v>
      </c>
      <c r="V13" s="42">
        <f t="shared" si="15"/>
        <v>39.695091005383709</v>
      </c>
      <c r="W13" s="43">
        <f t="shared" si="16"/>
        <v>-1.0882945951240508E-2</v>
      </c>
      <c r="X13" s="44">
        <f t="shared" si="17"/>
        <v>-1.0882945951240508E-2</v>
      </c>
      <c r="Y13" s="1"/>
      <c r="Z13" s="113" t="s">
        <v>26</v>
      </c>
    </row>
    <row r="14" spans="1:26" ht="15" thickBot="1" x14ac:dyDescent="0.4">
      <c r="A14" s="1"/>
      <c r="B14" s="1"/>
      <c r="C14" s="1"/>
      <c r="D14" s="1"/>
      <c r="E14" s="32">
        <f t="shared" si="18"/>
        <v>110</v>
      </c>
      <c r="F14" s="33">
        <f t="shared" si="0"/>
        <v>10</v>
      </c>
      <c r="G14" s="20">
        <f t="shared" si="1"/>
        <v>10</v>
      </c>
      <c r="H14" s="34">
        <f t="shared" si="19"/>
        <v>0</v>
      </c>
      <c r="I14" s="21">
        <f t="shared" si="2"/>
        <v>10</v>
      </c>
      <c r="J14" s="35">
        <f t="shared" si="3"/>
        <v>0.57655089902162471</v>
      </c>
      <c r="K14" s="36">
        <f t="shared" si="4"/>
        <v>0.3765508990216247</v>
      </c>
      <c r="L14" s="37">
        <f t="shared" si="5"/>
        <v>14.292010941409888</v>
      </c>
      <c r="M14" s="38">
        <f t="shared" si="6"/>
        <v>4.2920109414098873</v>
      </c>
      <c r="N14" s="36">
        <f t="shared" si="7"/>
        <v>18.584021882819776</v>
      </c>
      <c r="O14" s="39">
        <f t="shared" si="8"/>
        <v>0.7178785617145782</v>
      </c>
      <c r="P14" s="40">
        <f t="shared" si="9"/>
        <v>-0.2821214382854218</v>
      </c>
      <c r="Q14" s="41">
        <f t="shared" si="10"/>
        <v>0.71776928083184277</v>
      </c>
      <c r="R14" s="42">
        <f t="shared" si="11"/>
        <v>-0.28223071916815456</v>
      </c>
      <c r="S14" s="43">
        <f t="shared" si="12"/>
        <v>1.5356186627827494E-2</v>
      </c>
      <c r="T14" s="44">
        <f t="shared" si="13"/>
        <v>1.5356186627833366E-2</v>
      </c>
      <c r="U14" s="41">
        <f t="shared" si="14"/>
        <v>37.153850016177699</v>
      </c>
      <c r="V14" s="42">
        <f t="shared" si="15"/>
        <v>37.153850016177792</v>
      </c>
      <c r="W14" s="43">
        <f t="shared" si="16"/>
        <v>-1.0187340453716942E-2</v>
      </c>
      <c r="X14" s="44">
        <f t="shared" si="17"/>
        <v>-1.0187340453716054E-2</v>
      </c>
      <c r="Y14" s="1"/>
    </row>
    <row r="15" spans="1:26" ht="15" thickBot="1" x14ac:dyDescent="0.4">
      <c r="A15" s="1"/>
      <c r="B15" s="1"/>
      <c r="C15" s="1"/>
      <c r="D15" s="1"/>
      <c r="E15" s="32">
        <f t="shared" si="18"/>
        <v>120</v>
      </c>
      <c r="F15" s="33">
        <f t="shared" si="0"/>
        <v>20</v>
      </c>
      <c r="G15" s="20">
        <f t="shared" si="1"/>
        <v>20</v>
      </c>
      <c r="H15" s="34">
        <f t="shared" si="19"/>
        <v>0</v>
      </c>
      <c r="I15" s="21">
        <f t="shared" si="2"/>
        <v>20</v>
      </c>
      <c r="J15" s="35">
        <f t="shared" si="3"/>
        <v>1.011607783969773</v>
      </c>
      <c r="K15" s="36">
        <f t="shared" si="4"/>
        <v>0.81160778396977307</v>
      </c>
      <c r="L15" s="37">
        <f t="shared" si="5"/>
        <v>22.147298810578143</v>
      </c>
      <c r="M15" s="38">
        <f t="shared" si="6"/>
        <v>2.1472988105781452</v>
      </c>
      <c r="N15" s="36">
        <f t="shared" si="7"/>
        <v>24.294597621156289</v>
      </c>
      <c r="O15" s="39">
        <f t="shared" si="8"/>
        <v>0.84413718868480547</v>
      </c>
      <c r="P15" s="40">
        <f t="shared" si="9"/>
        <v>-0.15586281131519453</v>
      </c>
      <c r="Q15" s="41">
        <f t="shared" si="10"/>
        <v>0.84401646932700025</v>
      </c>
      <c r="R15" s="42">
        <f t="shared" si="11"/>
        <v>-0.15598353067300424</v>
      </c>
      <c r="S15" s="43">
        <f t="shared" si="12"/>
        <v>9.966561451789523E-3</v>
      </c>
      <c r="T15" s="44">
        <f t="shared" si="13"/>
        <v>9.9665614517858228E-3</v>
      </c>
      <c r="U15" s="41">
        <f t="shared" si="14"/>
        <v>28.677569532417024</v>
      </c>
      <c r="V15" s="42">
        <f t="shared" si="15"/>
        <v>28.677569532416534</v>
      </c>
      <c r="W15" s="43">
        <f t="shared" si="16"/>
        <v>-7.8638244378730349E-3</v>
      </c>
      <c r="X15" s="44">
        <f t="shared" si="17"/>
        <v>-7.8638244378730349E-3</v>
      </c>
      <c r="Y15" s="1"/>
    </row>
    <row r="16" spans="1:26" ht="15" thickBot="1" x14ac:dyDescent="0.4">
      <c r="A16" s="1"/>
      <c r="B16" s="1"/>
      <c r="C16" s="1"/>
      <c r="D16" s="1"/>
      <c r="E16" s="32">
        <f t="shared" si="18"/>
        <v>130</v>
      </c>
      <c r="F16" s="33">
        <f t="shared" si="0"/>
        <v>30</v>
      </c>
      <c r="G16" s="20">
        <f t="shared" si="1"/>
        <v>30</v>
      </c>
      <c r="H16" s="34">
        <f t="shared" si="19"/>
        <v>0</v>
      </c>
      <c r="I16" s="21">
        <f t="shared" si="2"/>
        <v>30</v>
      </c>
      <c r="J16" s="35">
        <f t="shared" si="3"/>
        <v>1.4118213223374552</v>
      </c>
      <c r="K16" s="36">
        <f t="shared" si="4"/>
        <v>1.2118213223374552</v>
      </c>
      <c r="L16" s="37">
        <f t="shared" si="5"/>
        <v>31.008871615968598</v>
      </c>
      <c r="M16" s="38">
        <f t="shared" si="6"/>
        <v>1.0088716159686002</v>
      </c>
      <c r="N16" s="36">
        <f t="shared" si="7"/>
        <v>32.017743231937196</v>
      </c>
      <c r="O16" s="39">
        <f t="shared" si="8"/>
        <v>0.92099871072610584</v>
      </c>
      <c r="P16" s="40">
        <f t="shared" si="9"/>
        <v>-7.900128927389416E-2</v>
      </c>
      <c r="Q16" s="41">
        <f t="shared" si="10"/>
        <v>0.92089980896004742</v>
      </c>
      <c r="R16" s="42">
        <f t="shared" si="11"/>
        <v>-7.9100191039962117E-2</v>
      </c>
      <c r="S16" s="43">
        <f t="shared" si="12"/>
        <v>5.6660961594513044E-3</v>
      </c>
      <c r="T16" s="44">
        <f t="shared" si="13"/>
        <v>5.6660961594460491E-3</v>
      </c>
      <c r="U16" s="41">
        <f t="shared" si="14"/>
        <v>19.125872567045121</v>
      </c>
      <c r="V16" s="42">
        <f t="shared" si="15"/>
        <v>19.125872567045992</v>
      </c>
      <c r="W16" s="43">
        <f t="shared" si="16"/>
        <v>-5.2423015799867301E-3</v>
      </c>
      <c r="X16" s="44">
        <f t="shared" si="17"/>
        <v>-5.2423015799889505E-3</v>
      </c>
      <c r="Y16" s="1"/>
    </row>
    <row r="17" spans="1:26" ht="15" thickBot="1" x14ac:dyDescent="0.4">
      <c r="A17" s="1"/>
      <c r="B17" s="1"/>
      <c r="C17" s="1"/>
      <c r="D17" s="1"/>
      <c r="E17" s="32">
        <f t="shared" si="18"/>
        <v>140</v>
      </c>
      <c r="F17" s="33">
        <f t="shared" si="0"/>
        <v>40</v>
      </c>
      <c r="G17" s="20">
        <f t="shared" si="1"/>
        <v>40</v>
      </c>
      <c r="H17" s="34">
        <f t="shared" si="19"/>
        <v>0</v>
      </c>
      <c r="I17" s="21">
        <f t="shared" si="2"/>
        <v>40</v>
      </c>
      <c r="J17" s="35">
        <f t="shared" si="3"/>
        <v>1.7823611831060644</v>
      </c>
      <c r="K17" s="36">
        <f t="shared" si="4"/>
        <v>1.5823611831060644</v>
      </c>
      <c r="L17" s="37">
        <f t="shared" si="5"/>
        <v>40.450032451908108</v>
      </c>
      <c r="M17" s="38">
        <f t="shared" si="6"/>
        <v>0.45003245190810753</v>
      </c>
      <c r="N17" s="36">
        <f t="shared" si="7"/>
        <v>40.900064903816215</v>
      </c>
      <c r="O17" s="39">
        <f t="shared" si="8"/>
        <v>0.96265482438053618</v>
      </c>
      <c r="P17" s="40">
        <f t="shared" si="9"/>
        <v>-3.7345175619463822E-2</v>
      </c>
      <c r="Q17" s="41">
        <f t="shared" si="10"/>
        <v>0.96258750367090218</v>
      </c>
      <c r="R17" s="42">
        <f t="shared" si="11"/>
        <v>-3.7412496329104816E-2</v>
      </c>
      <c r="S17" s="43">
        <f t="shared" si="12"/>
        <v>2.912172131015829E-3</v>
      </c>
      <c r="T17" s="44">
        <f t="shared" si="13"/>
        <v>2.9121721310093147E-3</v>
      </c>
      <c r="U17" s="41">
        <f t="shared" si="14"/>
        <v>11.405263281133671</v>
      </c>
      <c r="V17" s="42">
        <f t="shared" si="15"/>
        <v>11.405263281133287</v>
      </c>
      <c r="W17" s="43">
        <f t="shared" si="16"/>
        <v>-3.1215246734319635E-3</v>
      </c>
      <c r="X17" s="44">
        <f t="shared" si="17"/>
        <v>-3.1215246734309088E-3</v>
      </c>
      <c r="Y17" s="1"/>
      <c r="Z17" s="113" t="s">
        <v>28</v>
      </c>
    </row>
    <row r="18" spans="1:26" ht="15" thickBot="1" x14ac:dyDescent="0.4">
      <c r="A18" s="1"/>
      <c r="B18" s="1"/>
      <c r="C18" s="1"/>
      <c r="D18" s="1"/>
      <c r="E18" s="45">
        <f t="shared" si="18"/>
        <v>150</v>
      </c>
      <c r="F18" s="46">
        <f t="shared" si="0"/>
        <v>50</v>
      </c>
      <c r="G18" s="20">
        <f t="shared" si="1"/>
        <v>50</v>
      </c>
      <c r="H18" s="47">
        <f t="shared" si="19"/>
        <v>0</v>
      </c>
      <c r="I18" s="21">
        <f t="shared" si="2"/>
        <v>50</v>
      </c>
      <c r="J18" s="48">
        <f t="shared" si="3"/>
        <v>2.1273255405408218</v>
      </c>
      <c r="K18" s="49">
        <f t="shared" si="4"/>
        <v>1.9273255405408218</v>
      </c>
      <c r="L18" s="50">
        <f t="shared" si="5"/>
        <v>50.192475323297067</v>
      </c>
      <c r="M18" s="51">
        <f t="shared" si="6"/>
        <v>0.19247532329705244</v>
      </c>
      <c r="N18" s="49">
        <f t="shared" si="7"/>
        <v>50.38495064659412</v>
      </c>
      <c r="O18" s="52">
        <f t="shared" si="8"/>
        <v>0.98330347796652184</v>
      </c>
      <c r="P18" s="53">
        <f t="shared" si="9"/>
        <v>-1.6696522033478156E-2</v>
      </c>
      <c r="Q18" s="54">
        <f t="shared" si="10"/>
        <v>0.98326320159287184</v>
      </c>
      <c r="R18" s="55">
        <f t="shared" si="11"/>
        <v>-1.6736798407126535E-2</v>
      </c>
      <c r="S18" s="56">
        <f t="shared" si="12"/>
        <v>1.3852478597932026E-3</v>
      </c>
      <c r="T18" s="57">
        <f t="shared" si="13"/>
        <v>1.3852478598125205E-3</v>
      </c>
      <c r="U18" s="54">
        <f t="shared" si="14"/>
        <v>6.2388981944067723</v>
      </c>
      <c r="V18" s="55">
        <f t="shared" si="15"/>
        <v>6.2388981944065112</v>
      </c>
      <c r="W18" s="56">
        <f t="shared" si="16"/>
        <v>-1.7024791712216825E-3</v>
      </c>
      <c r="X18" s="57">
        <f t="shared" si="17"/>
        <v>-1.7024791711945098E-3</v>
      </c>
      <c r="Y18" s="1"/>
    </row>
    <row r="19" spans="1:26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6" x14ac:dyDescent="0.3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6" x14ac:dyDescent="0.3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6" x14ac:dyDescent="0.3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t="s">
        <v>27</v>
      </c>
    </row>
    <row r="23" spans="1:26" x14ac:dyDescent="0.3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6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6" x14ac:dyDescent="0.3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6" x14ac:dyDescent="0.3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6" x14ac:dyDescent="0.3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6" x14ac:dyDescent="0.35">
      <c r="A28" s="58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6" x14ac:dyDescent="0.35">
      <c r="A29" s="58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6" x14ac:dyDescent="0.35">
      <c r="A30" s="58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6" x14ac:dyDescent="0.35">
      <c r="A31" s="58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6" x14ac:dyDescent="0.35">
      <c r="A32" s="58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7" x14ac:dyDescent="0.35">
      <c r="A33" s="58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AA33" s="114" t="s">
        <v>29</v>
      </c>
    </row>
    <row r="34" spans="1:27" x14ac:dyDescent="0.35">
      <c r="A34" s="58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7" x14ac:dyDescent="0.35">
      <c r="A35" s="58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7" x14ac:dyDescent="0.35">
      <c r="A36" s="58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7" x14ac:dyDescent="0.35">
      <c r="A37" s="58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7" x14ac:dyDescent="0.35">
      <c r="A38" s="58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7" x14ac:dyDescent="0.35">
      <c r="A39" s="58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7" x14ac:dyDescent="0.35">
      <c r="A40" s="58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7" x14ac:dyDescent="0.35">
      <c r="A41" s="58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7" x14ac:dyDescent="0.35">
      <c r="A42" s="58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7" x14ac:dyDescent="0.35">
      <c r="A43" s="58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7" x14ac:dyDescent="0.35">
      <c r="A44" s="58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7" x14ac:dyDescent="0.35">
      <c r="A45" s="58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7" x14ac:dyDescent="0.35">
      <c r="A46" s="58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7" x14ac:dyDescent="0.35">
      <c r="A47" s="58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7" x14ac:dyDescent="0.35">
      <c r="A48" s="58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x14ac:dyDescent="0.35">
      <c r="A49" s="58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x14ac:dyDescent="0.35">
      <c r="A50" s="58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x14ac:dyDescent="0.35">
      <c r="A51" s="58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x14ac:dyDescent="0.35">
      <c r="A52" s="58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x14ac:dyDescent="0.35">
      <c r="A53" s="58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x14ac:dyDescent="0.35">
      <c r="A54" s="58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x14ac:dyDescent="0.35">
      <c r="A55" s="58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x14ac:dyDescent="0.35">
      <c r="A56" s="58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x14ac:dyDescent="0.35">
      <c r="A57" s="58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x14ac:dyDescent="0.35">
      <c r="A58" s="58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x14ac:dyDescent="0.35">
      <c r="A59" s="58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x14ac:dyDescent="0.35">
      <c r="A60" s="58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x14ac:dyDescent="0.35">
      <c r="A61" s="58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x14ac:dyDescent="0.35">
      <c r="A62" s="58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x14ac:dyDescent="0.35">
      <c r="A63" s="58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x14ac:dyDescent="0.35">
      <c r="A64" s="58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x14ac:dyDescent="0.35">
      <c r="A65" s="58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x14ac:dyDescent="0.35">
      <c r="A66" s="58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x14ac:dyDescent="0.35">
      <c r="A67" s="58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x14ac:dyDescent="0.35">
      <c r="A68" s="58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x14ac:dyDescent="0.35">
      <c r="A69" s="58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x14ac:dyDescent="0.35">
      <c r="A70" s="58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x14ac:dyDescent="0.35">
      <c r="A71" s="58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x14ac:dyDescent="0.35">
      <c r="A72" s="58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x14ac:dyDescent="0.35">
      <c r="A73" s="58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x14ac:dyDescent="0.35">
      <c r="A74" s="58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</sheetData>
  <mergeCells count="7">
    <mergeCell ref="W6:X6"/>
    <mergeCell ref="E6:E7"/>
    <mergeCell ref="F6:N6"/>
    <mergeCell ref="O6:P6"/>
    <mergeCell ref="Q6:R6"/>
    <mergeCell ref="S6:T6"/>
    <mergeCell ref="U6:V6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AC473-8DBD-4A91-ABF3-24CB6B3DB14E}">
  <sheetPr codeName="Feuil2"/>
  <dimension ref="A1:P35"/>
  <sheetViews>
    <sheetView zoomScale="74" zoomScaleNormal="74" workbookViewId="0">
      <selection activeCell="G30" sqref="G30"/>
    </sheetView>
  </sheetViews>
  <sheetFormatPr baseColWidth="10" defaultRowHeight="14.5" x14ac:dyDescent="0.35"/>
  <cols>
    <col min="10" max="10" width="10.6328125" bestFit="1" customWidth="1"/>
    <col min="11" max="11" width="12.26953125" bestFit="1" customWidth="1"/>
  </cols>
  <sheetData>
    <row r="1" spans="1:16" ht="15" thickBot="1" x14ac:dyDescent="0.4">
      <c r="A1" s="65"/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</row>
    <row r="2" spans="1:16" ht="15" thickBot="1" x14ac:dyDescent="0.4">
      <c r="A2" s="65"/>
      <c r="B2" s="66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8"/>
      <c r="P2" s="65"/>
    </row>
    <row r="3" spans="1:16" ht="15" thickBot="1" x14ac:dyDescent="0.4">
      <c r="A3" s="65"/>
      <c r="B3" s="69"/>
      <c r="C3" s="70"/>
      <c r="D3" s="71" t="s">
        <v>0</v>
      </c>
      <c r="E3" s="72">
        <v>100</v>
      </c>
      <c r="F3" s="73"/>
      <c r="G3" s="74" t="s">
        <v>16</v>
      </c>
      <c r="H3" s="75">
        <v>10000</v>
      </c>
      <c r="I3" s="70"/>
      <c r="J3" s="70"/>
      <c r="K3" s="70"/>
      <c r="L3" s="70"/>
      <c r="M3" s="70"/>
      <c r="N3" s="70"/>
      <c r="O3" s="76"/>
      <c r="P3" s="65"/>
    </row>
    <row r="4" spans="1:16" ht="15" thickBot="1" x14ac:dyDescent="0.4">
      <c r="A4" s="65"/>
      <c r="B4" s="69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6"/>
      <c r="P4" s="65"/>
    </row>
    <row r="5" spans="1:16" ht="15" thickBot="1" x14ac:dyDescent="0.4">
      <c r="A5" s="65"/>
      <c r="B5" s="69"/>
      <c r="C5" s="71" t="s">
        <v>17</v>
      </c>
      <c r="D5" s="74" t="s">
        <v>18</v>
      </c>
      <c r="E5" s="77" t="s">
        <v>19</v>
      </c>
      <c r="F5" s="74" t="s">
        <v>9</v>
      </c>
      <c r="G5" s="78" t="s">
        <v>20</v>
      </c>
      <c r="H5" s="70"/>
      <c r="I5" s="79" t="s">
        <v>11</v>
      </c>
      <c r="J5" s="80"/>
      <c r="K5" s="81" t="s">
        <v>4</v>
      </c>
      <c r="L5" s="77" t="s">
        <v>6</v>
      </c>
      <c r="M5" s="81" t="s">
        <v>7</v>
      </c>
      <c r="N5" s="74" t="s">
        <v>8</v>
      </c>
      <c r="O5" s="76"/>
      <c r="P5" s="65"/>
    </row>
    <row r="6" spans="1:16" x14ac:dyDescent="0.35">
      <c r="A6" s="65"/>
      <c r="B6" s="69"/>
      <c r="C6" s="82">
        <v>1</v>
      </c>
      <c r="D6" s="83">
        <v>90</v>
      </c>
      <c r="E6" s="84">
        <v>1</v>
      </c>
      <c r="F6" s="85">
        <v>0.2</v>
      </c>
      <c r="G6" s="86">
        <v>0.02</v>
      </c>
      <c r="H6" s="70"/>
      <c r="I6" s="87">
        <f>PriceOption($I$5,D6,$E$3,E6,F6,G6)</f>
        <v>4.1476268770342388</v>
      </c>
      <c r="J6" s="88">
        <f>I6*$H$3</f>
        <v>41476.268770342387</v>
      </c>
      <c r="K6" s="89">
        <f>OptionDeltaFinDiff($I$5,D6,$E$3,E6,F6,G6)*$H$3</f>
        <v>3719.2859082923728</v>
      </c>
      <c r="L6" s="90">
        <f>OptionGamma($I$5,D6,$E$3,E6,F6,G6)*$H$3</f>
        <v>210.06560356291092</v>
      </c>
      <c r="M6" s="89">
        <f>OptionVega($I$5,D6,$E$3,E6,F6,G6)*$H$3</f>
        <v>340302.95921724488</v>
      </c>
      <c r="N6" s="91">
        <f>OptionTheta($I$5,D6,$E$3,E6,F6,$G$6)*$H$3</f>
        <v>-109.36467276763118</v>
      </c>
      <c r="O6" s="76"/>
      <c r="P6" s="65"/>
    </row>
    <row r="7" spans="1:16" ht="15" thickBot="1" x14ac:dyDescent="0.4">
      <c r="A7" s="65"/>
      <c r="B7" s="69"/>
      <c r="C7" s="92">
        <v>2</v>
      </c>
      <c r="D7" s="93">
        <v>89.5</v>
      </c>
      <c r="E7" s="94">
        <f>358/365</f>
        <v>0.98082191780821915</v>
      </c>
      <c r="F7" s="95">
        <v>0.21</v>
      </c>
      <c r="G7" s="96">
        <v>0.02</v>
      </c>
      <c r="H7" s="70"/>
      <c r="I7" s="97">
        <f>PriceOption($I$5,D7,$E$3,E7,F7,G7)</f>
        <v>4.2216992717264805</v>
      </c>
      <c r="J7" s="98">
        <f>I7*$H$3</f>
        <v>42216.992717264802</v>
      </c>
      <c r="K7" s="99">
        <f>OptionDeltaFinDiff($I$5,D7,$E$3,E7,F7,G7)*$H$3</f>
        <v>3688.0226725777097</v>
      </c>
      <c r="L7" s="100">
        <f>OptionGamma($I$5,D7,$E$3,E7,F7,G7)*$H$3</f>
        <v>202.58519014517702</v>
      </c>
      <c r="M7" s="99">
        <f>OptionVega($I$5,D7,$E$3,E7,F7,G7)*$H$3</f>
        <v>334238.36741461477</v>
      </c>
      <c r="N7" s="101">
        <f>OptionTheta($I$5,D7,$E$3,E7,F7,$G$6)*$H$3</f>
        <v>-113.86913845237601</v>
      </c>
      <c r="O7" s="76"/>
      <c r="P7" s="65"/>
    </row>
    <row r="8" spans="1:16" ht="15" thickBot="1" x14ac:dyDescent="0.4">
      <c r="A8" s="65"/>
      <c r="B8" s="69"/>
      <c r="C8" s="70"/>
      <c r="D8" s="70"/>
      <c r="E8" s="70"/>
      <c r="F8" s="70"/>
      <c r="G8" s="70"/>
      <c r="H8" s="70"/>
      <c r="I8" s="73"/>
      <c r="J8" s="74" t="s">
        <v>21</v>
      </c>
      <c r="K8" s="102">
        <f>K6*(D7-D6)</f>
        <v>-1859.6429541461864</v>
      </c>
      <c r="L8" s="103">
        <f>0.5*L6*(D7-D6)^2</f>
        <v>26.258200445363865</v>
      </c>
      <c r="M8" s="102">
        <f>M6*(F7-F6)</f>
        <v>3403.0295921724423</v>
      </c>
      <c r="N8" s="104">
        <f>N6*(E6-E7)*365</f>
        <v>-765.55270937341948</v>
      </c>
      <c r="O8" s="76"/>
      <c r="P8" s="65"/>
    </row>
    <row r="9" spans="1:16" ht="15" thickBot="1" x14ac:dyDescent="0.4">
      <c r="A9" s="65"/>
      <c r="B9" s="69"/>
      <c r="C9" s="70"/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6"/>
      <c r="P9" s="65"/>
    </row>
    <row r="10" spans="1:16" ht="15" thickBot="1" x14ac:dyDescent="0.4">
      <c r="A10" s="65"/>
      <c r="B10" s="69"/>
      <c r="C10" s="70"/>
      <c r="D10" s="105" t="s">
        <v>22</v>
      </c>
      <c r="E10" s="106"/>
      <c r="F10" s="70"/>
      <c r="G10" s="70"/>
      <c r="H10" s="71" t="s">
        <v>22</v>
      </c>
      <c r="I10" s="71" t="s">
        <v>23</v>
      </c>
      <c r="J10" s="107">
        <f>SUM(K8:N8)</f>
        <v>804.0921290982003</v>
      </c>
      <c r="K10" s="74" t="s">
        <v>24</v>
      </c>
      <c r="L10" s="108">
        <f>J10-E11</f>
        <v>63.36818217578525</v>
      </c>
      <c r="M10" s="74" t="s">
        <v>36</v>
      </c>
      <c r="N10" s="115">
        <f>J10/E11</f>
        <v>1.0855489854743721</v>
      </c>
      <c r="O10" s="76"/>
      <c r="P10" s="65"/>
    </row>
    <row r="11" spans="1:16" ht="15" thickBot="1" x14ac:dyDescent="0.4">
      <c r="A11" s="65"/>
      <c r="B11" s="69"/>
      <c r="C11" s="70"/>
      <c r="D11" s="72" t="s">
        <v>25</v>
      </c>
      <c r="E11" s="109">
        <f>J7-J6</f>
        <v>740.72394692241505</v>
      </c>
      <c r="F11" s="70"/>
      <c r="G11" s="70"/>
      <c r="H11" s="70"/>
      <c r="I11" s="70"/>
      <c r="J11" s="70"/>
      <c r="K11" s="70"/>
      <c r="L11" s="70"/>
      <c r="M11" s="70"/>
      <c r="N11" s="70"/>
      <c r="O11" s="76"/>
      <c r="P11" s="65"/>
    </row>
    <row r="12" spans="1:16" ht="15" thickBot="1" x14ac:dyDescent="0.4">
      <c r="A12" s="65"/>
      <c r="B12" s="110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11"/>
      <c r="N12" s="111"/>
      <c r="O12" s="112"/>
      <c r="P12" s="65"/>
    </row>
    <row r="13" spans="1:16" x14ac:dyDescent="0.35">
      <c r="A13" s="65"/>
      <c r="B13" s="65"/>
      <c r="C13" s="65"/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</row>
    <row r="14" spans="1:16" x14ac:dyDescent="0.35">
      <c r="A14" s="65"/>
      <c r="B14" s="65"/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65"/>
      <c r="N14" s="65"/>
      <c r="O14" s="65"/>
      <c r="P14" s="65"/>
    </row>
    <row r="15" spans="1:16" x14ac:dyDescent="0.35">
      <c r="A15" s="65"/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</row>
    <row r="18" spans="2:15" ht="15" thickBot="1" x14ac:dyDescent="0.4"/>
    <row r="19" spans="2:15" ht="15" thickBot="1" x14ac:dyDescent="0.4">
      <c r="B19" s="66"/>
      <c r="C19" s="67"/>
      <c r="D19" s="67"/>
      <c r="E19" s="67"/>
      <c r="F19" s="67"/>
      <c r="G19" s="67"/>
      <c r="H19" s="67"/>
      <c r="I19" s="67"/>
      <c r="J19" s="67"/>
      <c r="K19" s="67"/>
      <c r="L19" s="67"/>
      <c r="M19" s="67"/>
      <c r="N19" s="67"/>
      <c r="O19" s="68"/>
    </row>
    <row r="20" spans="2:15" ht="15" thickBot="1" x14ac:dyDescent="0.4">
      <c r="B20" s="69"/>
      <c r="C20" s="70"/>
      <c r="D20" s="71" t="s">
        <v>0</v>
      </c>
      <c r="E20" s="72">
        <v>100</v>
      </c>
      <c r="F20" s="73"/>
      <c r="G20" s="74" t="s">
        <v>16</v>
      </c>
      <c r="H20" s="75">
        <v>10000</v>
      </c>
      <c r="I20" s="70"/>
      <c r="J20" s="70"/>
      <c r="K20" s="70"/>
      <c r="L20" s="70"/>
      <c r="M20" s="70"/>
      <c r="N20" s="70"/>
      <c r="O20" s="76"/>
    </row>
    <row r="21" spans="2:15" ht="15" thickBot="1" x14ac:dyDescent="0.4">
      <c r="B21" s="69"/>
      <c r="C21" s="70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6"/>
    </row>
    <row r="22" spans="2:15" ht="15" thickBot="1" x14ac:dyDescent="0.4">
      <c r="B22" s="69"/>
      <c r="C22" s="71" t="s">
        <v>17</v>
      </c>
      <c r="D22" s="74" t="s">
        <v>18</v>
      </c>
      <c r="E22" s="77" t="s">
        <v>19</v>
      </c>
      <c r="F22" s="74" t="s">
        <v>9</v>
      </c>
      <c r="G22" s="78" t="s">
        <v>20</v>
      </c>
      <c r="H22" s="70"/>
      <c r="I22" s="79" t="s">
        <v>11</v>
      </c>
      <c r="J22" s="80"/>
      <c r="K22" s="81" t="s">
        <v>4</v>
      </c>
      <c r="L22" s="77" t="s">
        <v>6</v>
      </c>
      <c r="M22" s="81" t="s">
        <v>7</v>
      </c>
      <c r="N22" s="74" t="s">
        <v>8</v>
      </c>
      <c r="O22" s="76"/>
    </row>
    <row r="23" spans="2:15" ht="15" thickBot="1" x14ac:dyDescent="0.4">
      <c r="B23" s="69"/>
      <c r="C23" s="82">
        <v>1</v>
      </c>
      <c r="D23" s="83">
        <v>90</v>
      </c>
      <c r="E23" s="84">
        <v>1</v>
      </c>
      <c r="F23" s="85">
        <v>0.2</v>
      </c>
      <c r="G23" s="86">
        <v>0.02</v>
      </c>
      <c r="H23" s="70"/>
      <c r="I23" s="87">
        <f>PriceOption($I$22,D23,$E$20,E23,F23,G23)</f>
        <v>4.1476268770342388</v>
      </c>
      <c r="J23" s="88">
        <f>I23*$H$20</f>
        <v>41476.268770342387</v>
      </c>
      <c r="K23" s="89">
        <f>OptionDeltaFinDiff($I$22,D23,$E$20,E23,F23,G23)*$H$20</f>
        <v>3719.2859082923728</v>
      </c>
      <c r="L23" s="90">
        <f>OptionGamma($I$5,D23,$E$20,E23,F23,G23)*$H$20</f>
        <v>210.06560356291092</v>
      </c>
      <c r="M23" s="89">
        <f>OptionVega($I$22,D23,$E$20,E23,F23,G23)*$H$20</f>
        <v>340302.95921724488</v>
      </c>
      <c r="N23" s="91">
        <f>OptionTheta($I$22,D23,$E$20,E23,F23,$G$23)*$H$20</f>
        <v>-109.36467276763118</v>
      </c>
      <c r="O23" s="76"/>
    </row>
    <row r="24" spans="2:15" ht="15" thickBot="1" x14ac:dyDescent="0.4">
      <c r="B24" s="69"/>
      <c r="C24" s="92">
        <v>2</v>
      </c>
      <c r="D24" s="93">
        <v>89.5</v>
      </c>
      <c r="E24" s="94">
        <f>358/365</f>
        <v>0.98082191780821915</v>
      </c>
      <c r="F24" s="95">
        <v>0.21</v>
      </c>
      <c r="G24" s="96">
        <v>0.02</v>
      </c>
      <c r="H24" s="70"/>
      <c r="I24" s="87">
        <f t="shared" ref="I24:I27" si="0">PriceOption($I$22,D24,$E$20,E24,F24,G24)</f>
        <v>4.2216992717264805</v>
      </c>
      <c r="J24" s="88">
        <f t="shared" ref="J24:J27" si="1">I24*$H$20</f>
        <v>42216.992717264802</v>
      </c>
      <c r="K24" s="89">
        <f t="shared" ref="K24:K27" si="2">OptionDeltaFinDiff($I$22,D24,$E$20,E24,F24,G24)*$H$20</f>
        <v>3688.0226725777097</v>
      </c>
      <c r="L24" s="90">
        <f t="shared" ref="L24:L27" si="3">OptionGamma($I$5,D24,$E$20,E24,F24,G24)*$H$20</f>
        <v>202.58519014517702</v>
      </c>
      <c r="M24" s="89">
        <f t="shared" ref="M24:M27" si="4">OptionVega($I$22,D24,$E$20,E24,F24,G24)*$H$20</f>
        <v>334238.36741461477</v>
      </c>
      <c r="N24" s="91">
        <f t="shared" ref="N24:N27" si="5">OptionTheta($I$22,D24,$E$20,E24,F24,$G$23)*$H$20</f>
        <v>-113.86913845237601</v>
      </c>
      <c r="O24" s="76"/>
    </row>
    <row r="25" spans="2:15" ht="15" thickBot="1" x14ac:dyDescent="0.4">
      <c r="B25" s="69"/>
      <c r="C25" s="82">
        <v>3</v>
      </c>
      <c r="D25" s="83">
        <v>91</v>
      </c>
      <c r="E25" s="84">
        <f>363/365</f>
        <v>0.9945205479452055</v>
      </c>
      <c r="F25" s="85">
        <v>0.24</v>
      </c>
      <c r="G25" s="86">
        <v>0.02</v>
      </c>
      <c r="H25" s="70"/>
      <c r="I25" s="87">
        <f t="shared" si="0"/>
        <v>5.9172945442706064</v>
      </c>
      <c r="J25" s="88">
        <f t="shared" si="1"/>
        <v>59172.945442706063</v>
      </c>
      <c r="K25" s="89">
        <f t="shared" si="2"/>
        <v>4241.5284441413269</v>
      </c>
      <c r="L25" s="90">
        <f t="shared" si="3"/>
        <v>179.82263654173971</v>
      </c>
      <c r="M25" s="89">
        <f t="shared" si="4"/>
        <v>355448.75394585636</v>
      </c>
      <c r="N25" s="91">
        <f t="shared" si="5"/>
        <v>-135.48876234592555</v>
      </c>
      <c r="O25" s="76"/>
    </row>
    <row r="26" spans="2:15" ht="15" thickBot="1" x14ac:dyDescent="0.4">
      <c r="B26" s="69"/>
      <c r="C26" s="92">
        <v>4</v>
      </c>
      <c r="D26" s="93">
        <v>88</v>
      </c>
      <c r="E26" s="94">
        <f>310/365</f>
        <v>0.84931506849315064</v>
      </c>
      <c r="F26" s="95">
        <v>0.25</v>
      </c>
      <c r="G26" s="96">
        <v>0.02</v>
      </c>
      <c r="H26" s="70"/>
      <c r="I26" s="87">
        <f t="shared" si="0"/>
        <v>4.3504640975269551</v>
      </c>
      <c r="J26" s="88">
        <f t="shared" si="1"/>
        <v>43504.640975269547</v>
      </c>
      <c r="K26" s="89">
        <f t="shared" si="2"/>
        <v>3572.2896296465383</v>
      </c>
      <c r="L26" s="90">
        <f t="shared" si="3"/>
        <v>183.9961589858051</v>
      </c>
      <c r="M26" s="89">
        <f t="shared" si="4"/>
        <v>302534.87325683847</v>
      </c>
      <c r="N26" s="91">
        <f t="shared" si="5"/>
        <v>-136.91670868982266</v>
      </c>
      <c r="O26" s="76"/>
    </row>
    <row r="27" spans="2:15" ht="15" thickBot="1" x14ac:dyDescent="0.4">
      <c r="B27" s="69"/>
      <c r="C27" s="82">
        <v>5</v>
      </c>
      <c r="D27" s="83">
        <v>92</v>
      </c>
      <c r="E27" s="84">
        <f>340/365</f>
        <v>0.93150684931506844</v>
      </c>
      <c r="F27" s="85">
        <v>0.26</v>
      </c>
      <c r="G27" s="86">
        <v>0.02</v>
      </c>
      <c r="H27" s="70"/>
      <c r="I27" s="87">
        <f t="shared" si="0"/>
        <v>6.7286388954718692</v>
      </c>
      <c r="J27" s="88">
        <f t="shared" si="1"/>
        <v>67286.388954718699</v>
      </c>
      <c r="K27" s="89">
        <f t="shared" si="2"/>
        <v>4472.5483123647655</v>
      </c>
      <c r="L27" s="90">
        <f t="shared" si="3"/>
        <v>171.2713237145532</v>
      </c>
      <c r="M27" s="89">
        <f t="shared" si="4"/>
        <v>351116.98794266256</v>
      </c>
      <c r="N27" s="91">
        <f t="shared" si="5"/>
        <v>-153.20617753657118</v>
      </c>
      <c r="O27" s="76"/>
    </row>
    <row r="28" spans="2:15" ht="15" thickBot="1" x14ac:dyDescent="0.4">
      <c r="B28" s="69"/>
      <c r="C28" s="70"/>
      <c r="D28" s="70"/>
      <c r="E28" s="70"/>
      <c r="F28" s="70"/>
      <c r="G28" s="70"/>
      <c r="H28" s="70"/>
      <c r="I28" s="73"/>
      <c r="J28" s="74" t="s">
        <v>31</v>
      </c>
      <c r="K28" s="102">
        <f>K23*(D24-D23)</f>
        <v>-1859.6429541461864</v>
      </c>
      <c r="L28" s="103">
        <f>0.5*L23*(D24-D23)^2</f>
        <v>26.258200445363865</v>
      </c>
      <c r="M28" s="102">
        <f>M23*(F24-F23)</f>
        <v>3403.0295921724423</v>
      </c>
      <c r="N28" s="104">
        <f>N23*(E23-E24)*365</f>
        <v>-765.55270937341948</v>
      </c>
      <c r="O28" s="76"/>
    </row>
    <row r="29" spans="2:15" ht="15" thickBot="1" x14ac:dyDescent="0.4">
      <c r="B29" s="69"/>
      <c r="C29" s="70"/>
      <c r="D29" s="70"/>
      <c r="E29" s="70"/>
      <c r="F29" s="70"/>
      <c r="G29" s="70"/>
      <c r="H29" s="70"/>
      <c r="I29" s="73"/>
      <c r="J29" s="74" t="s">
        <v>32</v>
      </c>
      <c r="K29" s="102">
        <f>K24*(D25-D24)</f>
        <v>5532.0340088665644</v>
      </c>
      <c r="L29" s="103">
        <f t="shared" ref="L29:L31" si="6">0.5*L24*(D25-D24)^2</f>
        <v>227.90833891332414</v>
      </c>
      <c r="M29" s="102">
        <f t="shared" ref="M29:M31" si="7">M24*(F25-F24)</f>
        <v>10027.151022438442</v>
      </c>
      <c r="N29" s="104">
        <f t="shared" ref="N29:N31" si="8">N24*(E24-E25)*365</f>
        <v>569.34569226188228</v>
      </c>
      <c r="O29" s="76"/>
    </row>
    <row r="30" spans="2:15" ht="15" thickBot="1" x14ac:dyDescent="0.4">
      <c r="B30" s="69"/>
      <c r="C30" s="70"/>
      <c r="D30" s="70"/>
      <c r="E30" s="70"/>
      <c r="F30" s="70"/>
      <c r="G30" s="70"/>
      <c r="H30" s="70"/>
      <c r="I30" s="73"/>
      <c r="J30" s="74" t="s">
        <v>33</v>
      </c>
      <c r="K30" s="102">
        <f t="shared" ref="K30:K31" si="9">K25*(D26-D25)</f>
        <v>-12724.58533242398</v>
      </c>
      <c r="L30" s="103">
        <f t="shared" si="6"/>
        <v>809.2018644378287</v>
      </c>
      <c r="M30" s="102">
        <f t="shared" si="7"/>
        <v>3554.4875394585665</v>
      </c>
      <c r="N30" s="104">
        <f t="shared" si="8"/>
        <v>-7180.9044043340582</v>
      </c>
      <c r="O30" s="76"/>
    </row>
    <row r="31" spans="2:15" ht="15" thickBot="1" x14ac:dyDescent="0.4">
      <c r="B31" s="69"/>
      <c r="C31" s="70"/>
      <c r="D31" s="70"/>
      <c r="E31" s="70"/>
      <c r="F31" s="70"/>
      <c r="G31" s="70"/>
      <c r="H31" s="70"/>
      <c r="I31" s="73"/>
      <c r="J31" s="74" t="s">
        <v>34</v>
      </c>
      <c r="K31" s="102">
        <f t="shared" si="9"/>
        <v>14289.158518586153</v>
      </c>
      <c r="L31" s="103">
        <f t="shared" si="6"/>
        <v>1471.9692718864408</v>
      </c>
      <c r="M31" s="102">
        <f t="shared" si="7"/>
        <v>3025.3487325683873</v>
      </c>
      <c r="N31" s="104">
        <f t="shared" si="8"/>
        <v>4107.5012606946793</v>
      </c>
      <c r="O31" s="76"/>
    </row>
    <row r="32" spans="2:15" ht="15" thickBot="1" x14ac:dyDescent="0.4">
      <c r="B32" s="69"/>
      <c r="C32" s="70"/>
      <c r="D32" s="70"/>
      <c r="E32" s="70"/>
      <c r="F32" s="70"/>
      <c r="G32" s="70"/>
      <c r="H32" s="70"/>
      <c r="I32" s="73"/>
      <c r="J32" s="71" t="s">
        <v>35</v>
      </c>
      <c r="K32" s="102">
        <f>SUM(K28:K31)</f>
        <v>5236.9642408825512</v>
      </c>
      <c r="L32" s="102">
        <f>SUM(L28:L31)</f>
        <v>2535.3376756829575</v>
      </c>
      <c r="M32" s="102">
        <f t="shared" ref="M32:N32" si="10">SUM(M28:M31)</f>
        <v>20010.016886637837</v>
      </c>
      <c r="N32" s="102">
        <f t="shared" si="10"/>
        <v>-3269.6101607509163</v>
      </c>
      <c r="O32" s="76"/>
    </row>
    <row r="33" spans="2:15" ht="15" thickBot="1" x14ac:dyDescent="0.4">
      <c r="B33" s="69"/>
      <c r="C33" s="70"/>
      <c r="D33" s="105" t="s">
        <v>22</v>
      </c>
      <c r="E33" s="106"/>
      <c r="F33" s="70"/>
      <c r="G33" s="70"/>
      <c r="H33" s="70"/>
      <c r="I33" s="70"/>
      <c r="J33" s="70"/>
      <c r="K33" s="70"/>
      <c r="L33" s="70"/>
      <c r="M33" s="70"/>
      <c r="N33" s="70"/>
      <c r="O33" s="76"/>
    </row>
    <row r="34" spans="2:15" ht="15" thickBot="1" x14ac:dyDescent="0.4">
      <c r="B34" s="69"/>
      <c r="C34" s="70"/>
      <c r="D34" s="72" t="s">
        <v>30</v>
      </c>
      <c r="E34" s="109">
        <f>J27-J23</f>
        <v>25810.120184376312</v>
      </c>
      <c r="F34" s="70"/>
      <c r="G34" s="70"/>
      <c r="H34" s="71" t="s">
        <v>22</v>
      </c>
      <c r="I34" s="71" t="s">
        <v>23</v>
      </c>
      <c r="J34" s="107">
        <f>SUM(K32:N32)</f>
        <v>24512.708642452431</v>
      </c>
      <c r="K34" s="74" t="s">
        <v>24</v>
      </c>
      <c r="L34" s="108">
        <f>J34-E34</f>
        <v>-1297.4115419238806</v>
      </c>
      <c r="M34" s="74" t="s">
        <v>36</v>
      </c>
      <c r="N34" s="115">
        <f>J34/E34</f>
        <v>0.94973244864201578</v>
      </c>
      <c r="O34" s="76"/>
    </row>
    <row r="35" spans="2:15" ht="15" thickBot="1" x14ac:dyDescent="0.4">
      <c r="B35" s="110"/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11"/>
      <c r="N35" s="111"/>
      <c r="O35" s="112"/>
    </row>
  </sheetData>
  <mergeCells count="4">
    <mergeCell ref="I5:J5"/>
    <mergeCell ref="D10:E10"/>
    <mergeCell ref="I22:J22"/>
    <mergeCell ref="D33:E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Contexte</vt:lpstr>
      <vt:lpstr>Overview</vt:lpstr>
      <vt:lpstr>PnL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MA46953</dc:creator>
  <cp:lastModifiedBy>MA46953</cp:lastModifiedBy>
  <dcterms:created xsi:type="dcterms:W3CDTF">2026-04-13T22:43:43Z</dcterms:created>
  <dcterms:modified xsi:type="dcterms:W3CDTF">2026-04-15T00:06:51Z</dcterms:modified>
</cp:coreProperties>
</file>