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ve\Desktop\MON PORTFOLIO\"/>
    </mc:Choice>
  </mc:AlternateContent>
  <xr:revisionPtr revIDLastSave="0" documentId="13_ncr:1_{04CFDC8F-2155-4269-9296-B90E9D49D392}" xr6:coauthVersionLast="47" xr6:coauthVersionMax="47" xr10:uidLastSave="{00000000-0000-0000-0000-000000000000}"/>
  <bookViews>
    <workbookView xWindow="-110" yWindow="-110" windowWidth="22780" windowHeight="14540" xr2:uid="{D1DDBA54-0EC8-4BD7-9783-8A5EB240DF5F}"/>
  </bookViews>
  <sheets>
    <sheet name="YIELD CURVE" sheetId="1" r:id="rId1"/>
    <sheet name="PRICING BOND" sheetId="2" r:id="rId2"/>
    <sheet name="TRA" sheetId="3" r:id="rId3"/>
    <sheet name="Tx FWD" sheetId="4" r:id="rId4"/>
    <sheet name="SWAP DE TAUX" sheetId="5" r:id="rId5"/>
  </sheets>
  <externalReferences>
    <externalReference r:id="rId6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3" i="3" l="1"/>
  <c r="D22" i="3"/>
  <c r="H68" i="5"/>
  <c r="H69" i="5"/>
  <c r="H70" i="5"/>
  <c r="H67" i="5"/>
  <c r="O67" i="5" s="1"/>
  <c r="H66" i="5"/>
  <c r="O66" i="5" s="1"/>
  <c r="H65" i="5"/>
  <c r="O65" i="5" s="1"/>
  <c r="H64" i="5"/>
  <c r="O64" i="5" s="1"/>
  <c r="H63" i="5"/>
  <c r="G67" i="5"/>
  <c r="F64" i="5"/>
  <c r="F65" i="5"/>
  <c r="F66" i="5"/>
  <c r="F63" i="5"/>
  <c r="N63" i="5" s="1"/>
  <c r="E68" i="5"/>
  <c r="E69" i="5"/>
  <c r="E70" i="5"/>
  <c r="E67" i="5"/>
  <c r="N67" i="5"/>
  <c r="E64" i="5"/>
  <c r="E65" i="5"/>
  <c r="E66" i="5"/>
  <c r="E63" i="5"/>
  <c r="O70" i="5"/>
  <c r="N70" i="5"/>
  <c r="P70" i="5" s="1"/>
  <c r="O69" i="5"/>
  <c r="N69" i="5"/>
  <c r="O68" i="5"/>
  <c r="N68" i="5"/>
  <c r="N64" i="5"/>
  <c r="O63" i="5"/>
  <c r="O54" i="5"/>
  <c r="O50" i="5"/>
  <c r="O48" i="5"/>
  <c r="E47" i="5"/>
  <c r="L63" i="5" s="1"/>
  <c r="M63" i="5" s="1"/>
  <c r="L64" i="5" s="1"/>
  <c r="M64" i="5" s="1"/>
  <c r="L65" i="5" s="1"/>
  <c r="M65" i="5" s="1"/>
  <c r="L66" i="5" s="1"/>
  <c r="M66" i="5" s="1"/>
  <c r="H35" i="5"/>
  <c r="H36" i="5"/>
  <c r="H37" i="5"/>
  <c r="H38" i="5"/>
  <c r="H34" i="5"/>
  <c r="H33" i="5"/>
  <c r="H32" i="5"/>
  <c r="H31" i="5"/>
  <c r="H30" i="5"/>
  <c r="H29" i="5"/>
  <c r="E30" i="5"/>
  <c r="E31" i="5"/>
  <c r="E32" i="5"/>
  <c r="E33" i="5"/>
  <c r="E29" i="5"/>
  <c r="O11" i="5"/>
  <c r="H19" i="5"/>
  <c r="O19" i="5" s="1"/>
  <c r="O33" i="5" s="1"/>
  <c r="E20" i="5"/>
  <c r="E21" i="5"/>
  <c r="N21" i="5" s="1"/>
  <c r="E22" i="5"/>
  <c r="N22" i="5" s="1"/>
  <c r="E23" i="5"/>
  <c r="N23" i="5" s="1"/>
  <c r="E24" i="5"/>
  <c r="N24" i="5" s="1"/>
  <c r="E16" i="5"/>
  <c r="E17" i="5"/>
  <c r="E18" i="5"/>
  <c r="E19" i="5"/>
  <c r="E15" i="5"/>
  <c r="H21" i="5"/>
  <c r="O21" i="5" s="1"/>
  <c r="H22" i="5"/>
  <c r="O22" i="5" s="1"/>
  <c r="O36" i="5" s="1"/>
  <c r="H23" i="5"/>
  <c r="O23" i="5" s="1"/>
  <c r="O37" i="5" s="1"/>
  <c r="H24" i="5"/>
  <c r="O24" i="5" s="1"/>
  <c r="O38" i="5" s="1"/>
  <c r="H20" i="5"/>
  <c r="O20" i="5" s="1"/>
  <c r="O34" i="5" s="1"/>
  <c r="F16" i="5"/>
  <c r="N16" i="5" s="1"/>
  <c r="F17" i="5"/>
  <c r="F18" i="5"/>
  <c r="F19" i="5"/>
  <c r="F15" i="5"/>
  <c r="H18" i="5"/>
  <c r="O18" i="5" s="1"/>
  <c r="O32" i="5" s="1"/>
  <c r="H17" i="5"/>
  <c r="O17" i="5" s="1"/>
  <c r="O31" i="5" s="1"/>
  <c r="H16" i="5"/>
  <c r="O16" i="5" s="1"/>
  <c r="O30" i="5" s="1"/>
  <c r="H15" i="5"/>
  <c r="O15" i="5" s="1"/>
  <c r="O29" i="5" s="1"/>
  <c r="G20" i="5"/>
  <c r="F33" i="5"/>
  <c r="F32" i="5"/>
  <c r="F31" i="5"/>
  <c r="F30" i="5"/>
  <c r="F29" i="5"/>
  <c r="O7" i="5"/>
  <c r="E35" i="5" s="1"/>
  <c r="N35" i="5" s="1"/>
  <c r="O5" i="5"/>
  <c r="E4" i="5"/>
  <c r="O4" i="5" s="1"/>
  <c r="L20" i="5" s="1"/>
  <c r="L34" i="5" s="1"/>
  <c r="L17" i="4"/>
  <c r="K3" i="3"/>
  <c r="G13" i="3"/>
  <c r="G14" i="3"/>
  <c r="G15" i="3"/>
  <c r="G16" i="3"/>
  <c r="G12" i="3"/>
  <c r="K12" i="3" s="1"/>
  <c r="M12" i="3" s="1"/>
  <c r="E12" i="3"/>
  <c r="D12" i="3"/>
  <c r="F16" i="3"/>
  <c r="L16" i="3" s="1"/>
  <c r="E16" i="3"/>
  <c r="D16" i="3"/>
  <c r="K16" i="3" s="1"/>
  <c r="F15" i="3"/>
  <c r="L15" i="3" s="1"/>
  <c r="E15" i="3"/>
  <c r="D15" i="3"/>
  <c r="F14" i="3"/>
  <c r="L14" i="3" s="1"/>
  <c r="E14" i="3"/>
  <c r="D14" i="3"/>
  <c r="K14" i="3" s="1"/>
  <c r="M14" i="3" s="1"/>
  <c r="F13" i="3"/>
  <c r="L13" i="3" s="1"/>
  <c r="E13" i="3"/>
  <c r="D13" i="3"/>
  <c r="K13" i="3" s="1"/>
  <c r="I12" i="3"/>
  <c r="J12" i="3" s="1"/>
  <c r="F12" i="3"/>
  <c r="L12" i="3" s="1"/>
  <c r="L14" i="2"/>
  <c r="L13" i="2"/>
  <c r="K13" i="2"/>
  <c r="G14" i="2"/>
  <c r="G15" i="2"/>
  <c r="G16" i="2"/>
  <c r="G17" i="2"/>
  <c r="G13" i="2"/>
  <c r="F14" i="2"/>
  <c r="F15" i="2"/>
  <c r="F16" i="2"/>
  <c r="F17" i="2"/>
  <c r="F13" i="2"/>
  <c r="E14" i="2"/>
  <c r="E15" i="2"/>
  <c r="E16" i="2"/>
  <c r="E17" i="2"/>
  <c r="E13" i="2"/>
  <c r="D14" i="2"/>
  <c r="D15" i="2"/>
  <c r="D16" i="2"/>
  <c r="D17" i="2"/>
  <c r="D13" i="2"/>
  <c r="L17" i="2"/>
  <c r="L16" i="2"/>
  <c r="L15" i="2"/>
  <c r="I13" i="2"/>
  <c r="J13" i="2" s="1"/>
  <c r="D4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C4" i="1"/>
  <c r="B4" i="1"/>
  <c r="B3" i="1"/>
  <c r="C2" i="1"/>
  <c r="P69" i="5" l="1"/>
  <c r="P67" i="5"/>
  <c r="P64" i="5"/>
  <c r="N15" i="5"/>
  <c r="N17" i="5"/>
  <c r="P17" i="5" s="1"/>
  <c r="P31" i="5" s="1"/>
  <c r="N18" i="5"/>
  <c r="P18" i="5" s="1"/>
  <c r="P32" i="5" s="1"/>
  <c r="N65" i="5"/>
  <c r="P65" i="5" s="1"/>
  <c r="E34" i="5"/>
  <c r="E38" i="5"/>
  <c r="N38" i="5" s="1"/>
  <c r="P38" i="5" s="1"/>
  <c r="E37" i="5"/>
  <c r="N37" i="5" s="1"/>
  <c r="E36" i="5"/>
  <c r="N36" i="5" s="1"/>
  <c r="P36" i="5" s="1"/>
  <c r="N66" i="5"/>
  <c r="P66" i="5" s="1"/>
  <c r="N19" i="5"/>
  <c r="N33" i="5" s="1"/>
  <c r="P68" i="5"/>
  <c r="V68" i="5" s="1"/>
  <c r="P63" i="5"/>
  <c r="O47" i="5"/>
  <c r="L67" i="5" s="1"/>
  <c r="N20" i="5"/>
  <c r="P20" i="5" s="1"/>
  <c r="P23" i="5"/>
  <c r="P22" i="5"/>
  <c r="L15" i="5"/>
  <c r="L29" i="5" s="1"/>
  <c r="M29" i="5" s="1"/>
  <c r="P24" i="5"/>
  <c r="N30" i="5"/>
  <c r="P16" i="5"/>
  <c r="P30" i="5" s="1"/>
  <c r="P37" i="5"/>
  <c r="P35" i="5"/>
  <c r="N31" i="5"/>
  <c r="P15" i="5"/>
  <c r="N29" i="5"/>
  <c r="K34" i="5"/>
  <c r="M20" i="5"/>
  <c r="O35" i="5"/>
  <c r="P21" i="5"/>
  <c r="N32" i="5"/>
  <c r="K15" i="3"/>
  <c r="M15" i="3" s="1"/>
  <c r="I13" i="3"/>
  <c r="J13" i="3" s="1"/>
  <c r="I14" i="3" s="1"/>
  <c r="J14" i="3" s="1"/>
  <c r="I15" i="3" s="1"/>
  <c r="J15" i="3" s="1"/>
  <c r="I16" i="3" s="1"/>
  <c r="J16" i="3" s="1"/>
  <c r="M16" i="3"/>
  <c r="M13" i="3"/>
  <c r="K16" i="2"/>
  <c r="M16" i="2" s="1"/>
  <c r="K17" i="2"/>
  <c r="M13" i="2"/>
  <c r="K15" i="2"/>
  <c r="M15" i="2" s="1"/>
  <c r="K14" i="2"/>
  <c r="M17" i="2"/>
  <c r="M14" i="2"/>
  <c r="V63" i="5" l="1"/>
  <c r="S20" i="5"/>
  <c r="N34" i="5"/>
  <c r="P34" i="5" s="1"/>
  <c r="S34" i="5" s="1"/>
  <c r="P19" i="5"/>
  <c r="P33" i="5" s="1"/>
  <c r="K67" i="5"/>
  <c r="M67" i="5"/>
  <c r="L68" i="5" s="1"/>
  <c r="M15" i="5"/>
  <c r="L16" i="5" s="1"/>
  <c r="M16" i="5" s="1"/>
  <c r="L17" i="5" s="1"/>
  <c r="P29" i="5"/>
  <c r="M34" i="5"/>
  <c r="L21" i="5"/>
  <c r="I14" i="2"/>
  <c r="J14" i="2" s="1"/>
  <c r="I15" i="2" s="1"/>
  <c r="J15" i="2" s="1"/>
  <c r="I16" i="2" s="1"/>
  <c r="J16" i="2" s="1"/>
  <c r="I17" i="2" s="1"/>
  <c r="J17" i="2" s="1"/>
  <c r="K4" i="2"/>
  <c r="S29" i="5" l="1"/>
  <c r="S15" i="5"/>
  <c r="M68" i="5"/>
  <c r="L69" i="5" s="1"/>
  <c r="K68" i="5"/>
  <c r="L30" i="5"/>
  <c r="M30" i="5" s="1"/>
  <c r="L35" i="5"/>
  <c r="K35" i="5" s="1"/>
  <c r="M21" i="5"/>
  <c r="L31" i="5"/>
  <c r="M31" i="5" s="1"/>
  <c r="M17" i="5"/>
  <c r="L18" i="5" s="1"/>
  <c r="K69" i="5" l="1"/>
  <c r="M69" i="5"/>
  <c r="L70" i="5" s="1"/>
  <c r="L32" i="5"/>
  <c r="M32" i="5" s="1"/>
  <c r="M18" i="5"/>
  <c r="L19" i="5" s="1"/>
  <c r="M35" i="5"/>
  <c r="L22" i="5"/>
  <c r="M70" i="5" l="1"/>
  <c r="K70" i="5"/>
  <c r="M22" i="5"/>
  <c r="L36" i="5"/>
  <c r="K36" i="5" s="1"/>
  <c r="M19" i="5"/>
  <c r="L33" i="5"/>
  <c r="M33" i="5" s="1"/>
  <c r="M36" i="5" l="1"/>
  <c r="L23" i="5"/>
  <c r="L37" i="5" l="1"/>
  <c r="K37" i="5" s="1"/>
  <c r="M23" i="5"/>
  <c r="L24" i="5" l="1"/>
  <c r="M37" i="5"/>
  <c r="M24" i="5" l="1"/>
  <c r="M38" i="5" s="1"/>
  <c r="L38" i="5"/>
  <c r="K38" i="5" s="1"/>
</calcChain>
</file>

<file path=xl/sharedStrings.xml><?xml version="1.0" encoding="utf-8"?>
<sst xmlns="http://schemas.openxmlformats.org/spreadsheetml/2006/main" count="241" uniqueCount="68">
  <si>
    <t>Discount Curve Rate</t>
  </si>
  <si>
    <t>Périodicité :</t>
  </si>
  <si>
    <t>Floating Rate :</t>
  </si>
  <si>
    <t>ZC_Curve</t>
  </si>
  <si>
    <t>fwd_Curve_Rate</t>
  </si>
  <si>
    <t>Monthly</t>
  </si>
  <si>
    <t>Euribor 1M</t>
  </si>
  <si>
    <t>Quarterly</t>
  </si>
  <si>
    <t>Euribor 3M</t>
  </si>
  <si>
    <t>Half-Yearly</t>
  </si>
  <si>
    <t>Euribor 6M</t>
  </si>
  <si>
    <t>Yearly</t>
  </si>
  <si>
    <t>Euribor 12M</t>
  </si>
  <si>
    <t>Maturité:</t>
  </si>
  <si>
    <t>Years</t>
  </si>
  <si>
    <t>Taux du coupon:</t>
  </si>
  <si>
    <t>Theorical Price:</t>
  </si>
  <si>
    <t>Nominal:</t>
  </si>
  <si>
    <t>Périodicité:</t>
  </si>
  <si>
    <t>Flat_0,04</t>
  </si>
  <si>
    <t>Base de Calcul:</t>
  </si>
  <si>
    <t>30/360</t>
  </si>
  <si>
    <t>By default</t>
  </si>
  <si>
    <t>Generated Cash Flows</t>
  </si>
  <si>
    <t>Nb Of Cash</t>
  </si>
  <si>
    <t>Type Of Cash</t>
  </si>
  <si>
    <t>Principal</t>
  </si>
  <si>
    <t>Coupon Rate</t>
  </si>
  <si>
    <t>Discount Rate</t>
  </si>
  <si>
    <t>Nb OF Days In Period</t>
  </si>
  <si>
    <t>Nb of Days In Year</t>
  </si>
  <si>
    <t xml:space="preserve"> Start Date</t>
  </si>
  <si>
    <t>End Date</t>
  </si>
  <si>
    <t>Cash Flows</t>
  </si>
  <si>
    <t>DF: Discount Factor</t>
  </si>
  <si>
    <t>Discount Cash Flows</t>
  </si>
  <si>
    <t>Fixed</t>
  </si>
  <si>
    <t>Market Price:</t>
  </si>
  <si>
    <t>Taux de rendement actuariel</t>
  </si>
  <si>
    <t>Nj Fwd:</t>
  </si>
  <si>
    <t>Nj Short:</t>
  </si>
  <si>
    <t>Twd:</t>
  </si>
  <si>
    <t>Tx Court:</t>
  </si>
  <si>
    <t>Tx Long:</t>
  </si>
  <si>
    <t>Implémentation du Swap de Taux (Mise en place)</t>
  </si>
  <si>
    <t>Ctp1:</t>
  </si>
  <si>
    <t>TD:</t>
  </si>
  <si>
    <t>Ctp2:</t>
  </si>
  <si>
    <t>Fixed Rate:</t>
  </si>
  <si>
    <t>Floating Rate:</t>
  </si>
  <si>
    <t>Forward Curve Rate:</t>
  </si>
  <si>
    <t>Implémentation</t>
  </si>
  <si>
    <t>FIXED Rate</t>
  </si>
  <si>
    <t>Floating Rate</t>
  </si>
  <si>
    <t>------------</t>
  </si>
  <si>
    <t>Fixed NPV:</t>
  </si>
  <si>
    <t>Floating</t>
  </si>
  <si>
    <t>----------</t>
  </si>
  <si>
    <t>Floating NPV:</t>
  </si>
  <si>
    <t>Fonctionnement</t>
  </si>
  <si>
    <t>Fixing Rate</t>
  </si>
  <si>
    <t xml:space="preserve">         Years</t>
  </si>
  <si>
    <t xml:space="preserve">  </t>
  </si>
  <si>
    <t>Lag = 0</t>
  </si>
  <si>
    <t>Fixing Date</t>
  </si>
  <si>
    <t>CAS 2</t>
  </si>
  <si>
    <t>Comment trouver le taux fixed</t>
  </si>
  <si>
    <t>comment trouver le taux de rendement actuariel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</si>
</sst>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#,##0.0000000\ &quot;€&quot;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rgb="FF00B0F0"/>
      <name val="Aptos Narrow"/>
      <family val="2"/>
      <scheme val="minor"/>
    </font>
    <font>
      <sz val="20"/>
      <color rgb="FF00B0F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9" fontId="2" fillId="5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6" borderId="0" xfId="0" applyFont="1" applyFill="1"/>
    <xf numFmtId="164" fontId="3" fillId="6" borderId="0" xfId="0" applyNumberFormat="1" applyFont="1" applyFill="1"/>
    <xf numFmtId="10" fontId="2" fillId="2" borderId="0" xfId="0" applyNumberFormat="1" applyFont="1" applyFill="1"/>
    <xf numFmtId="10" fontId="2" fillId="2" borderId="0" xfId="1" applyNumberFormat="1" applyFont="1" applyFill="1" applyAlignment="1">
      <alignment horizontal="center"/>
    </xf>
    <xf numFmtId="0" fontId="0" fillId="4" borderId="0" xfId="0" applyFill="1"/>
    <xf numFmtId="0" fontId="4" fillId="0" borderId="0" xfId="0" applyFont="1"/>
    <xf numFmtId="0" fontId="4" fillId="4" borderId="0" xfId="0" applyFont="1" applyFill="1"/>
    <xf numFmtId="0" fontId="4" fillId="5" borderId="0" xfId="0" applyFont="1" applyFill="1"/>
    <xf numFmtId="10" fontId="4" fillId="5" borderId="0" xfId="0" applyNumberFormat="1" applyFont="1" applyFill="1"/>
    <xf numFmtId="0" fontId="2" fillId="4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10" fontId="5" fillId="4" borderId="0" xfId="0" applyNumberFormat="1" applyFont="1" applyFill="1" applyAlignment="1">
      <alignment horizontal="center"/>
    </xf>
    <xf numFmtId="9" fontId="5" fillId="4" borderId="0" xfId="0" quotePrefix="1" applyNumberFormat="1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quotePrefix="1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10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4" fontId="3" fillId="4" borderId="0" xfId="0" applyNumberFormat="1" applyFont="1" applyFill="1" applyAlignment="1">
      <alignment horizontal="center"/>
    </xf>
    <xf numFmtId="0" fontId="3" fillId="3" borderId="0" xfId="0" applyFont="1" applyFill="1"/>
    <xf numFmtId="14" fontId="3" fillId="3" borderId="0" xfId="0" applyNumberFormat="1" applyFont="1" applyFill="1" applyAlignment="1">
      <alignment horizontal="center"/>
    </xf>
    <xf numFmtId="0" fontId="2" fillId="3" borderId="0" xfId="0" applyFont="1" applyFill="1"/>
    <xf numFmtId="0" fontId="2" fillId="5" borderId="0" xfId="0" applyFont="1" applyFill="1" applyAlignment="1">
      <alignment horizontal="center"/>
    </xf>
    <xf numFmtId="0" fontId="5" fillId="4" borderId="0" xfId="0" applyFont="1" applyFill="1"/>
    <xf numFmtId="10" fontId="5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7" fillId="0" borderId="0" xfId="0" applyFont="1" applyAlignment="1">
      <alignment horizontal="center"/>
    </xf>
    <xf numFmtId="164" fontId="3" fillId="3" borderId="0" xfId="0" applyNumberFormat="1" applyFont="1" applyFill="1"/>
    <xf numFmtId="44" fontId="2" fillId="3" borderId="0" xfId="2" applyFont="1" applyFill="1" applyAlignment="1">
      <alignment horizontal="center"/>
    </xf>
    <xf numFmtId="0" fontId="6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0" fontId="2" fillId="3" borderId="0" xfId="0" applyNumberFormat="1" applyFont="1" applyFill="1" applyAlignment="1">
      <alignment horizontal="center"/>
    </xf>
    <xf numFmtId="10" fontId="7" fillId="3" borderId="0" xfId="0" applyNumberFormat="1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10" fontId="11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0" fontId="8" fillId="3" borderId="0" xfId="0" applyNumberFormat="1" applyFont="1" applyFill="1" applyAlignment="1">
      <alignment horizontal="center"/>
    </xf>
    <xf numFmtId="10" fontId="13" fillId="0" borderId="0" xfId="0" applyNumberFormat="1" applyFont="1" applyAlignment="1">
      <alignment horizontal="center"/>
    </xf>
    <xf numFmtId="9" fontId="2" fillId="0" borderId="0" xfId="0" applyNumberFormat="1" applyFont="1"/>
  </cellXfs>
  <cellStyles count="3">
    <cellStyle name="Milliers" xfId="1" builtinId="3"/>
    <cellStyle name="Monétaire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MBA%202-%20Finance%20&amp;%20Data%20-%20Banking%20Risk%20Management%20-%2023%20Mars%202026%20(1).xlsx" TargetMode="External"/><Relationship Id="rId2" Type="http://schemas.openxmlformats.org/officeDocument/2006/relationships/externalLinkPath" Target="file:///C:\Users\clave\Downloads\MBA%202-%20Finance%20&amp;%20Data%20-%20Banking%20Risk%20Management%20-%2023%20Mars%202026%20(1).xlsx" TargetMode="External"/><Relationship Id="rId1" Type="http://schemas.openxmlformats.org/officeDocument/2006/relationships/externalLinkPath" Target="/Users/clave/Downloads/MBA%202-%20Finance%20&amp;%20Data%20-%20Banking%20Risk%20Management%20-%2023%20Mars%20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Data"/>
      <sheetName val="Introd"/>
      <sheetName val="Taux"/>
      <sheetName val="Bond"/>
      <sheetName val="Bond 2"/>
      <sheetName val="TRA"/>
      <sheetName val="Risk"/>
      <sheetName val="Change"/>
      <sheetName val="Greeks"/>
      <sheetName val="Tx Fwd"/>
      <sheetName val="Swap de Taux"/>
      <sheetName val="EXERCICE SUR LE SWAP"/>
      <sheetName val="Floating Rate"/>
      <sheetName val="Swap Option"/>
      <sheetName val="Autres type de swap"/>
      <sheetName val="Risk de taux CAP &amp; FLOOR"/>
      <sheetName val="VaR"/>
      <sheetName val="Risk de Crédi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6972-DF15-47CA-8C43-7AE4B4863852}">
  <dimension ref="A1:H122"/>
  <sheetViews>
    <sheetView tabSelected="1" zoomScale="51" zoomScaleNormal="51" workbookViewId="0">
      <selection activeCell="E32" sqref="E32"/>
    </sheetView>
  </sheetViews>
  <sheetFormatPr baseColWidth="10" defaultColWidth="30" defaultRowHeight="26" x14ac:dyDescent="0.6"/>
  <cols>
    <col min="1" max="3" width="30" style="55"/>
    <col min="4" max="4" width="33.7265625" style="55" customWidth="1"/>
    <col min="5" max="5" width="67.1796875" style="55" customWidth="1"/>
    <col min="6" max="6" width="37.1796875" style="55" customWidth="1"/>
    <col min="7" max="7" width="46.26953125" style="55" customWidth="1"/>
    <col min="8" max="8" width="30" style="59"/>
    <col min="9" max="16384" width="30" style="55"/>
  </cols>
  <sheetData>
    <row r="1" spans="1:8" x14ac:dyDescent="0.6">
      <c r="C1" s="56" t="s">
        <v>0</v>
      </c>
      <c r="D1" s="56"/>
      <c r="F1" s="57" t="s">
        <v>1</v>
      </c>
      <c r="G1" s="58" t="s">
        <v>2</v>
      </c>
    </row>
    <row r="2" spans="1:8" x14ac:dyDescent="0.6">
      <c r="C2" s="60" t="str">
        <f>"Flat_"&amp;C3</f>
        <v>Flat_0,04</v>
      </c>
      <c r="D2" s="60" t="s">
        <v>3</v>
      </c>
      <c r="E2" s="61" t="s">
        <v>4</v>
      </c>
      <c r="F2" s="62" t="s">
        <v>5</v>
      </c>
      <c r="G2" s="63" t="s">
        <v>6</v>
      </c>
      <c r="H2" s="64">
        <v>1.9800000000000002E-2</v>
      </c>
    </row>
    <row r="3" spans="1:8" x14ac:dyDescent="0.6">
      <c r="A3" s="55">
        <v>1</v>
      </c>
      <c r="B3" s="55" t="str">
        <f>A3&amp;"M"</f>
        <v>1M</v>
      </c>
      <c r="C3" s="65">
        <v>0.04</v>
      </c>
      <c r="D3" s="66">
        <v>4.4999999999999998E-2</v>
      </c>
      <c r="E3" s="67">
        <v>0.04</v>
      </c>
      <c r="F3" s="62" t="s">
        <v>7</v>
      </c>
      <c r="G3" s="63" t="s">
        <v>8</v>
      </c>
      <c r="H3" s="64">
        <v>2.1600000000000001E-2</v>
      </c>
    </row>
    <row r="4" spans="1:8" x14ac:dyDescent="0.6">
      <c r="A4" s="55">
        <v>2</v>
      </c>
      <c r="B4" s="55" t="str">
        <f t="shared" ref="B4:B67" si="0">A4&amp;"M"</f>
        <v>2M</v>
      </c>
      <c r="C4" s="65">
        <f>$C$3</f>
        <v>0.04</v>
      </c>
      <c r="D4" s="66">
        <f>D3+0.00021</f>
        <v>4.521E-2</v>
      </c>
      <c r="E4" s="67">
        <f>E3+0.00025</f>
        <v>4.0250000000000001E-2</v>
      </c>
      <c r="F4" s="62" t="s">
        <v>9</v>
      </c>
      <c r="G4" s="63" t="s">
        <v>10</v>
      </c>
      <c r="H4" s="64">
        <v>2.2200000000000001E-2</v>
      </c>
    </row>
    <row r="5" spans="1:8" x14ac:dyDescent="0.6">
      <c r="A5" s="55">
        <v>3</v>
      </c>
      <c r="B5" s="55" t="str">
        <f t="shared" si="0"/>
        <v>3M</v>
      </c>
      <c r="C5" s="65">
        <f t="shared" ref="C5:C68" si="1">$C$3</f>
        <v>0.04</v>
      </c>
      <c r="D5" s="66">
        <f t="shared" ref="D5:D68" si="2">D4+0.00021</f>
        <v>4.5420000000000002E-2</v>
      </c>
      <c r="E5" s="67">
        <f t="shared" ref="E5:E68" si="3">E4+0.00025</f>
        <v>4.0500000000000001E-2</v>
      </c>
      <c r="F5" s="62" t="s">
        <v>11</v>
      </c>
      <c r="G5" s="63" t="s">
        <v>12</v>
      </c>
      <c r="H5" s="64">
        <v>2.2499999999999999E-2</v>
      </c>
    </row>
    <row r="6" spans="1:8" x14ac:dyDescent="0.6">
      <c r="A6" s="55">
        <v>4</v>
      </c>
      <c r="B6" s="55" t="str">
        <f t="shared" si="0"/>
        <v>4M</v>
      </c>
      <c r="C6" s="65">
        <f t="shared" si="1"/>
        <v>0.04</v>
      </c>
      <c r="D6" s="66">
        <f t="shared" si="2"/>
        <v>4.5630000000000004E-2</v>
      </c>
      <c r="E6" s="67">
        <f t="shared" si="3"/>
        <v>4.0750000000000001E-2</v>
      </c>
    </row>
    <row r="7" spans="1:8" x14ac:dyDescent="0.6">
      <c r="A7" s="55">
        <v>5</v>
      </c>
      <c r="B7" s="55" t="str">
        <f t="shared" si="0"/>
        <v>5M</v>
      </c>
      <c r="C7" s="65">
        <f t="shared" si="1"/>
        <v>0.04</v>
      </c>
      <c r="D7" s="66">
        <f t="shared" si="2"/>
        <v>4.5840000000000006E-2</v>
      </c>
      <c r="E7" s="67">
        <f t="shared" si="3"/>
        <v>4.1000000000000002E-2</v>
      </c>
    </row>
    <row r="8" spans="1:8" x14ac:dyDescent="0.6">
      <c r="A8" s="55">
        <v>6</v>
      </c>
      <c r="B8" s="55" t="str">
        <f t="shared" si="0"/>
        <v>6M</v>
      </c>
      <c r="C8" s="65">
        <f t="shared" si="1"/>
        <v>0.04</v>
      </c>
      <c r="D8" s="66">
        <f t="shared" si="2"/>
        <v>4.6050000000000008E-2</v>
      </c>
      <c r="E8" s="67">
        <f t="shared" si="3"/>
        <v>4.1250000000000002E-2</v>
      </c>
    </row>
    <row r="9" spans="1:8" x14ac:dyDescent="0.6">
      <c r="A9" s="55">
        <v>7</v>
      </c>
      <c r="B9" s="55" t="str">
        <f t="shared" si="0"/>
        <v>7M</v>
      </c>
      <c r="C9" s="65">
        <f t="shared" si="1"/>
        <v>0.04</v>
      </c>
      <c r="D9" s="66">
        <f t="shared" si="2"/>
        <v>4.6260000000000009E-2</v>
      </c>
      <c r="E9" s="67">
        <f t="shared" si="3"/>
        <v>4.1500000000000002E-2</v>
      </c>
    </row>
    <row r="10" spans="1:8" x14ac:dyDescent="0.6">
      <c r="A10" s="55">
        <v>8</v>
      </c>
      <c r="B10" s="55" t="str">
        <f t="shared" si="0"/>
        <v>8M</v>
      </c>
      <c r="C10" s="65">
        <f t="shared" si="1"/>
        <v>0.04</v>
      </c>
      <c r="D10" s="66">
        <f t="shared" si="2"/>
        <v>4.6470000000000011E-2</v>
      </c>
      <c r="E10" s="67">
        <f t="shared" si="3"/>
        <v>4.1750000000000002E-2</v>
      </c>
    </row>
    <row r="11" spans="1:8" x14ac:dyDescent="0.6">
      <c r="A11" s="55">
        <v>9</v>
      </c>
      <c r="B11" s="55" t="str">
        <f t="shared" si="0"/>
        <v>9M</v>
      </c>
      <c r="C11" s="65">
        <f t="shared" si="1"/>
        <v>0.04</v>
      </c>
      <c r="D11" s="66">
        <f t="shared" si="2"/>
        <v>4.6680000000000013E-2</v>
      </c>
      <c r="E11" s="67">
        <f t="shared" si="3"/>
        <v>4.2000000000000003E-2</v>
      </c>
    </row>
    <row r="12" spans="1:8" x14ac:dyDescent="0.6">
      <c r="A12" s="55">
        <v>10</v>
      </c>
      <c r="B12" s="55" t="str">
        <f t="shared" si="0"/>
        <v>10M</v>
      </c>
      <c r="C12" s="65">
        <f t="shared" si="1"/>
        <v>0.04</v>
      </c>
      <c r="D12" s="66">
        <f t="shared" si="2"/>
        <v>4.6890000000000015E-2</v>
      </c>
      <c r="E12" s="67">
        <f t="shared" si="3"/>
        <v>4.2250000000000003E-2</v>
      </c>
    </row>
    <row r="13" spans="1:8" x14ac:dyDescent="0.6">
      <c r="A13" s="55">
        <v>11</v>
      </c>
      <c r="B13" s="55" t="str">
        <f t="shared" si="0"/>
        <v>11M</v>
      </c>
      <c r="C13" s="65">
        <f t="shared" si="1"/>
        <v>0.04</v>
      </c>
      <c r="D13" s="66">
        <f t="shared" si="2"/>
        <v>4.7100000000000017E-2</v>
      </c>
      <c r="E13" s="67">
        <f t="shared" si="3"/>
        <v>4.2500000000000003E-2</v>
      </c>
    </row>
    <row r="14" spans="1:8" x14ac:dyDescent="0.6">
      <c r="A14" s="55">
        <v>12</v>
      </c>
      <c r="B14" s="55" t="str">
        <f t="shared" si="0"/>
        <v>12M</v>
      </c>
      <c r="C14" s="65">
        <f t="shared" si="1"/>
        <v>0.04</v>
      </c>
      <c r="D14" s="66">
        <f t="shared" si="2"/>
        <v>4.7310000000000019E-2</v>
      </c>
      <c r="E14" s="67">
        <f t="shared" si="3"/>
        <v>4.2750000000000003E-2</v>
      </c>
    </row>
    <row r="15" spans="1:8" x14ac:dyDescent="0.6">
      <c r="A15" s="55">
        <v>13</v>
      </c>
      <c r="B15" s="55" t="str">
        <f t="shared" si="0"/>
        <v>13M</v>
      </c>
      <c r="C15" s="65">
        <f t="shared" si="1"/>
        <v>0.04</v>
      </c>
      <c r="D15" s="66">
        <f t="shared" si="2"/>
        <v>4.7520000000000021E-2</v>
      </c>
      <c r="E15" s="67">
        <f t="shared" si="3"/>
        <v>4.3000000000000003E-2</v>
      </c>
    </row>
    <row r="16" spans="1:8" x14ac:dyDescent="0.6">
      <c r="A16" s="55">
        <v>14</v>
      </c>
      <c r="B16" s="55" t="str">
        <f t="shared" si="0"/>
        <v>14M</v>
      </c>
      <c r="C16" s="65">
        <f t="shared" si="1"/>
        <v>0.04</v>
      </c>
      <c r="D16" s="66">
        <f t="shared" si="2"/>
        <v>4.7730000000000022E-2</v>
      </c>
      <c r="E16" s="67">
        <f t="shared" si="3"/>
        <v>4.3250000000000004E-2</v>
      </c>
    </row>
    <row r="17" spans="1:5" x14ac:dyDescent="0.6">
      <c r="A17" s="55">
        <v>15</v>
      </c>
      <c r="B17" s="55" t="str">
        <f t="shared" si="0"/>
        <v>15M</v>
      </c>
      <c r="C17" s="65">
        <f t="shared" si="1"/>
        <v>0.04</v>
      </c>
      <c r="D17" s="66">
        <f t="shared" si="2"/>
        <v>4.7940000000000024E-2</v>
      </c>
      <c r="E17" s="67">
        <f t="shared" si="3"/>
        <v>4.3500000000000004E-2</v>
      </c>
    </row>
    <row r="18" spans="1:5" x14ac:dyDescent="0.6">
      <c r="A18" s="55">
        <v>16</v>
      </c>
      <c r="B18" s="55" t="str">
        <f t="shared" si="0"/>
        <v>16M</v>
      </c>
      <c r="C18" s="65">
        <f t="shared" si="1"/>
        <v>0.04</v>
      </c>
      <c r="D18" s="66">
        <f t="shared" si="2"/>
        <v>4.8150000000000026E-2</v>
      </c>
      <c r="E18" s="67">
        <f t="shared" si="3"/>
        <v>4.3750000000000004E-2</v>
      </c>
    </row>
    <row r="19" spans="1:5" x14ac:dyDescent="0.6">
      <c r="A19" s="55">
        <v>17</v>
      </c>
      <c r="B19" s="55" t="str">
        <f t="shared" si="0"/>
        <v>17M</v>
      </c>
      <c r="C19" s="65">
        <f t="shared" si="1"/>
        <v>0.04</v>
      </c>
      <c r="D19" s="66">
        <f t="shared" si="2"/>
        <v>4.8360000000000028E-2</v>
      </c>
      <c r="E19" s="67">
        <f t="shared" si="3"/>
        <v>4.4000000000000004E-2</v>
      </c>
    </row>
    <row r="20" spans="1:5" x14ac:dyDescent="0.6">
      <c r="A20" s="55">
        <v>18</v>
      </c>
      <c r="B20" s="55" t="str">
        <f t="shared" si="0"/>
        <v>18M</v>
      </c>
      <c r="C20" s="65">
        <f t="shared" si="1"/>
        <v>0.04</v>
      </c>
      <c r="D20" s="66">
        <f t="shared" si="2"/>
        <v>4.857000000000003E-2</v>
      </c>
      <c r="E20" s="67">
        <f t="shared" si="3"/>
        <v>4.4250000000000005E-2</v>
      </c>
    </row>
    <row r="21" spans="1:5" x14ac:dyDescent="0.6">
      <c r="A21" s="55">
        <v>19</v>
      </c>
      <c r="B21" s="55" t="str">
        <f t="shared" si="0"/>
        <v>19M</v>
      </c>
      <c r="C21" s="65">
        <f t="shared" si="1"/>
        <v>0.04</v>
      </c>
      <c r="D21" s="66">
        <f t="shared" si="2"/>
        <v>4.8780000000000032E-2</v>
      </c>
      <c r="E21" s="67">
        <f t="shared" si="3"/>
        <v>4.4500000000000005E-2</v>
      </c>
    </row>
    <row r="22" spans="1:5" x14ac:dyDescent="0.6">
      <c r="A22" s="55">
        <v>20</v>
      </c>
      <c r="B22" s="55" t="str">
        <f t="shared" si="0"/>
        <v>20M</v>
      </c>
      <c r="C22" s="65">
        <f t="shared" si="1"/>
        <v>0.04</v>
      </c>
      <c r="D22" s="66">
        <f t="shared" si="2"/>
        <v>4.8990000000000034E-2</v>
      </c>
      <c r="E22" s="67">
        <f t="shared" si="3"/>
        <v>4.4750000000000005E-2</v>
      </c>
    </row>
    <row r="23" spans="1:5" x14ac:dyDescent="0.6">
      <c r="A23" s="55">
        <v>21</v>
      </c>
      <c r="B23" s="55" t="str">
        <f t="shared" si="0"/>
        <v>21M</v>
      </c>
      <c r="C23" s="65">
        <f t="shared" si="1"/>
        <v>0.04</v>
      </c>
      <c r="D23" s="66">
        <f t="shared" si="2"/>
        <v>4.9200000000000035E-2</v>
      </c>
      <c r="E23" s="67">
        <f t="shared" si="3"/>
        <v>4.5000000000000005E-2</v>
      </c>
    </row>
    <row r="24" spans="1:5" x14ac:dyDescent="0.6">
      <c r="A24" s="55">
        <v>22</v>
      </c>
      <c r="B24" s="55" t="str">
        <f t="shared" si="0"/>
        <v>22M</v>
      </c>
      <c r="C24" s="65">
        <f t="shared" si="1"/>
        <v>0.04</v>
      </c>
      <c r="D24" s="66">
        <f t="shared" si="2"/>
        <v>4.9410000000000037E-2</v>
      </c>
      <c r="E24" s="67">
        <f t="shared" si="3"/>
        <v>4.5250000000000005E-2</v>
      </c>
    </row>
    <row r="25" spans="1:5" x14ac:dyDescent="0.6">
      <c r="A25" s="55">
        <v>23</v>
      </c>
      <c r="B25" s="55" t="str">
        <f t="shared" si="0"/>
        <v>23M</v>
      </c>
      <c r="C25" s="65">
        <f t="shared" si="1"/>
        <v>0.04</v>
      </c>
      <c r="D25" s="66">
        <f t="shared" si="2"/>
        <v>4.9620000000000039E-2</v>
      </c>
      <c r="E25" s="67">
        <f t="shared" si="3"/>
        <v>4.5500000000000006E-2</v>
      </c>
    </row>
    <row r="26" spans="1:5" x14ac:dyDescent="0.6">
      <c r="A26" s="55">
        <v>24</v>
      </c>
      <c r="B26" s="55" t="str">
        <f t="shared" si="0"/>
        <v>24M</v>
      </c>
      <c r="C26" s="65">
        <f t="shared" si="1"/>
        <v>0.04</v>
      </c>
      <c r="D26" s="66">
        <f t="shared" si="2"/>
        <v>4.9830000000000041E-2</v>
      </c>
      <c r="E26" s="67">
        <f t="shared" si="3"/>
        <v>4.5750000000000006E-2</v>
      </c>
    </row>
    <row r="27" spans="1:5" x14ac:dyDescent="0.6">
      <c r="A27" s="55">
        <v>25</v>
      </c>
      <c r="B27" s="55" t="str">
        <f t="shared" si="0"/>
        <v>25M</v>
      </c>
      <c r="C27" s="65">
        <f t="shared" si="1"/>
        <v>0.04</v>
      </c>
      <c r="D27" s="66">
        <f t="shared" si="2"/>
        <v>5.0040000000000043E-2</v>
      </c>
      <c r="E27" s="67">
        <f t="shared" si="3"/>
        <v>4.6000000000000006E-2</v>
      </c>
    </row>
    <row r="28" spans="1:5" x14ac:dyDescent="0.6">
      <c r="A28" s="55">
        <v>26</v>
      </c>
      <c r="B28" s="55" t="str">
        <f t="shared" si="0"/>
        <v>26M</v>
      </c>
      <c r="C28" s="65">
        <f t="shared" si="1"/>
        <v>0.04</v>
      </c>
      <c r="D28" s="66">
        <f t="shared" si="2"/>
        <v>5.0250000000000045E-2</v>
      </c>
      <c r="E28" s="67">
        <f t="shared" si="3"/>
        <v>4.6250000000000006E-2</v>
      </c>
    </row>
    <row r="29" spans="1:5" x14ac:dyDescent="0.6">
      <c r="A29" s="55">
        <v>27</v>
      </c>
      <c r="B29" s="55" t="str">
        <f t="shared" si="0"/>
        <v>27M</v>
      </c>
      <c r="C29" s="65">
        <f t="shared" si="1"/>
        <v>0.04</v>
      </c>
      <c r="D29" s="66">
        <f t="shared" si="2"/>
        <v>5.0460000000000046E-2</v>
      </c>
      <c r="E29" s="67">
        <f t="shared" si="3"/>
        <v>4.6500000000000007E-2</v>
      </c>
    </row>
    <row r="30" spans="1:5" x14ac:dyDescent="0.6">
      <c r="A30" s="55">
        <v>28</v>
      </c>
      <c r="B30" s="55" t="str">
        <f t="shared" si="0"/>
        <v>28M</v>
      </c>
      <c r="C30" s="65">
        <f t="shared" si="1"/>
        <v>0.04</v>
      </c>
      <c r="D30" s="66">
        <f t="shared" si="2"/>
        <v>5.0670000000000048E-2</v>
      </c>
      <c r="E30" s="67">
        <f t="shared" si="3"/>
        <v>4.6750000000000007E-2</v>
      </c>
    </row>
    <row r="31" spans="1:5" x14ac:dyDescent="0.6">
      <c r="A31" s="55">
        <v>29</v>
      </c>
      <c r="B31" s="55" t="str">
        <f t="shared" si="0"/>
        <v>29M</v>
      </c>
      <c r="C31" s="65">
        <f t="shared" si="1"/>
        <v>0.04</v>
      </c>
      <c r="D31" s="66">
        <f t="shared" si="2"/>
        <v>5.088000000000005E-2</v>
      </c>
      <c r="E31" s="67">
        <f t="shared" si="3"/>
        <v>4.7000000000000007E-2</v>
      </c>
    </row>
    <row r="32" spans="1:5" x14ac:dyDescent="0.6">
      <c r="A32" s="55">
        <v>30</v>
      </c>
      <c r="B32" s="55" t="str">
        <f t="shared" si="0"/>
        <v>30M</v>
      </c>
      <c r="C32" s="65">
        <f t="shared" si="1"/>
        <v>0.04</v>
      </c>
      <c r="D32" s="66">
        <f t="shared" si="2"/>
        <v>5.1090000000000052E-2</v>
      </c>
      <c r="E32" s="67">
        <f t="shared" si="3"/>
        <v>4.7250000000000007E-2</v>
      </c>
    </row>
    <row r="33" spans="1:5" x14ac:dyDescent="0.6">
      <c r="A33" s="55">
        <v>31</v>
      </c>
      <c r="B33" s="55" t="str">
        <f t="shared" si="0"/>
        <v>31M</v>
      </c>
      <c r="C33" s="65">
        <f t="shared" si="1"/>
        <v>0.04</v>
      </c>
      <c r="D33" s="66">
        <f t="shared" si="2"/>
        <v>5.1300000000000054E-2</v>
      </c>
      <c r="E33" s="67">
        <f t="shared" si="3"/>
        <v>4.7500000000000007E-2</v>
      </c>
    </row>
    <row r="34" spans="1:5" x14ac:dyDescent="0.6">
      <c r="A34" s="55">
        <v>32</v>
      </c>
      <c r="B34" s="55" t="str">
        <f t="shared" si="0"/>
        <v>32M</v>
      </c>
      <c r="C34" s="65">
        <f t="shared" si="1"/>
        <v>0.04</v>
      </c>
      <c r="D34" s="66">
        <f t="shared" si="2"/>
        <v>5.1510000000000056E-2</v>
      </c>
      <c r="E34" s="67">
        <f t="shared" si="3"/>
        <v>4.7750000000000008E-2</v>
      </c>
    </row>
    <row r="35" spans="1:5" x14ac:dyDescent="0.6">
      <c r="A35" s="55">
        <v>33</v>
      </c>
      <c r="B35" s="55" t="str">
        <f t="shared" si="0"/>
        <v>33M</v>
      </c>
      <c r="C35" s="65">
        <f t="shared" si="1"/>
        <v>0.04</v>
      </c>
      <c r="D35" s="66">
        <f t="shared" si="2"/>
        <v>5.1720000000000058E-2</v>
      </c>
      <c r="E35" s="67">
        <f t="shared" si="3"/>
        <v>4.8000000000000008E-2</v>
      </c>
    </row>
    <row r="36" spans="1:5" x14ac:dyDescent="0.6">
      <c r="A36" s="55">
        <v>34</v>
      </c>
      <c r="B36" s="55" t="str">
        <f t="shared" si="0"/>
        <v>34M</v>
      </c>
      <c r="C36" s="65">
        <f t="shared" si="1"/>
        <v>0.04</v>
      </c>
      <c r="D36" s="66">
        <f t="shared" si="2"/>
        <v>5.1930000000000059E-2</v>
      </c>
      <c r="E36" s="67">
        <f t="shared" si="3"/>
        <v>4.8250000000000008E-2</v>
      </c>
    </row>
    <row r="37" spans="1:5" x14ac:dyDescent="0.6">
      <c r="A37" s="55">
        <v>35</v>
      </c>
      <c r="B37" s="55" t="str">
        <f t="shared" si="0"/>
        <v>35M</v>
      </c>
      <c r="C37" s="65">
        <f t="shared" si="1"/>
        <v>0.04</v>
      </c>
      <c r="D37" s="66">
        <f t="shared" si="2"/>
        <v>5.2140000000000061E-2</v>
      </c>
      <c r="E37" s="67">
        <f t="shared" si="3"/>
        <v>4.8500000000000008E-2</v>
      </c>
    </row>
    <row r="38" spans="1:5" x14ac:dyDescent="0.6">
      <c r="A38" s="55">
        <v>36</v>
      </c>
      <c r="B38" s="55" t="str">
        <f t="shared" si="0"/>
        <v>36M</v>
      </c>
      <c r="C38" s="65">
        <f t="shared" si="1"/>
        <v>0.04</v>
      </c>
      <c r="D38" s="66">
        <f t="shared" si="2"/>
        <v>5.2350000000000063E-2</v>
      </c>
      <c r="E38" s="67">
        <f t="shared" si="3"/>
        <v>4.8750000000000009E-2</v>
      </c>
    </row>
    <row r="39" spans="1:5" x14ac:dyDescent="0.6">
      <c r="A39" s="55">
        <v>37</v>
      </c>
      <c r="B39" s="55" t="str">
        <f t="shared" si="0"/>
        <v>37M</v>
      </c>
      <c r="C39" s="65">
        <f t="shared" si="1"/>
        <v>0.04</v>
      </c>
      <c r="D39" s="66">
        <f t="shared" si="2"/>
        <v>5.2560000000000065E-2</v>
      </c>
      <c r="E39" s="67">
        <f t="shared" si="3"/>
        <v>4.9000000000000009E-2</v>
      </c>
    </row>
    <row r="40" spans="1:5" x14ac:dyDescent="0.6">
      <c r="A40" s="55">
        <v>38</v>
      </c>
      <c r="B40" s="55" t="str">
        <f t="shared" si="0"/>
        <v>38M</v>
      </c>
      <c r="C40" s="65">
        <f t="shared" si="1"/>
        <v>0.04</v>
      </c>
      <c r="D40" s="66">
        <f t="shared" si="2"/>
        <v>5.2770000000000067E-2</v>
      </c>
      <c r="E40" s="67">
        <f t="shared" si="3"/>
        <v>4.9250000000000009E-2</v>
      </c>
    </row>
    <row r="41" spans="1:5" x14ac:dyDescent="0.6">
      <c r="A41" s="55">
        <v>39</v>
      </c>
      <c r="B41" s="55" t="str">
        <f t="shared" si="0"/>
        <v>39M</v>
      </c>
      <c r="C41" s="65">
        <f t="shared" si="1"/>
        <v>0.04</v>
      </c>
      <c r="D41" s="66">
        <f t="shared" si="2"/>
        <v>5.2980000000000069E-2</v>
      </c>
      <c r="E41" s="67">
        <f t="shared" si="3"/>
        <v>4.9500000000000009E-2</v>
      </c>
    </row>
    <row r="42" spans="1:5" x14ac:dyDescent="0.6">
      <c r="A42" s="55">
        <v>40</v>
      </c>
      <c r="B42" s="55" t="str">
        <f t="shared" si="0"/>
        <v>40M</v>
      </c>
      <c r="C42" s="65">
        <f t="shared" si="1"/>
        <v>0.04</v>
      </c>
      <c r="D42" s="66">
        <f t="shared" si="2"/>
        <v>5.3190000000000071E-2</v>
      </c>
      <c r="E42" s="67">
        <f t="shared" si="3"/>
        <v>4.9750000000000009E-2</v>
      </c>
    </row>
    <row r="43" spans="1:5" x14ac:dyDescent="0.6">
      <c r="A43" s="55">
        <v>41</v>
      </c>
      <c r="B43" s="55" t="str">
        <f t="shared" si="0"/>
        <v>41M</v>
      </c>
      <c r="C43" s="65">
        <f t="shared" si="1"/>
        <v>0.04</v>
      </c>
      <c r="D43" s="66">
        <f t="shared" si="2"/>
        <v>5.3400000000000072E-2</v>
      </c>
      <c r="E43" s="67">
        <f t="shared" si="3"/>
        <v>5.000000000000001E-2</v>
      </c>
    </row>
    <row r="44" spans="1:5" x14ac:dyDescent="0.6">
      <c r="A44" s="55">
        <v>42</v>
      </c>
      <c r="B44" s="55" t="str">
        <f t="shared" si="0"/>
        <v>42M</v>
      </c>
      <c r="C44" s="65">
        <f t="shared" si="1"/>
        <v>0.04</v>
      </c>
      <c r="D44" s="66">
        <f t="shared" si="2"/>
        <v>5.3610000000000074E-2</v>
      </c>
      <c r="E44" s="67">
        <f t="shared" si="3"/>
        <v>5.025000000000001E-2</v>
      </c>
    </row>
    <row r="45" spans="1:5" x14ac:dyDescent="0.6">
      <c r="A45" s="55">
        <v>43</v>
      </c>
      <c r="B45" s="55" t="str">
        <f t="shared" si="0"/>
        <v>43M</v>
      </c>
      <c r="C45" s="65">
        <f t="shared" si="1"/>
        <v>0.04</v>
      </c>
      <c r="D45" s="66">
        <f t="shared" si="2"/>
        <v>5.3820000000000076E-2</v>
      </c>
      <c r="E45" s="67">
        <f t="shared" si="3"/>
        <v>5.050000000000001E-2</v>
      </c>
    </row>
    <row r="46" spans="1:5" x14ac:dyDescent="0.6">
      <c r="A46" s="55">
        <v>44</v>
      </c>
      <c r="B46" s="55" t="str">
        <f t="shared" si="0"/>
        <v>44M</v>
      </c>
      <c r="C46" s="65">
        <f t="shared" si="1"/>
        <v>0.04</v>
      </c>
      <c r="D46" s="66">
        <f t="shared" si="2"/>
        <v>5.4030000000000078E-2</v>
      </c>
      <c r="E46" s="67">
        <f t="shared" si="3"/>
        <v>5.075000000000001E-2</v>
      </c>
    </row>
    <row r="47" spans="1:5" x14ac:dyDescent="0.6">
      <c r="A47" s="55">
        <v>45</v>
      </c>
      <c r="B47" s="55" t="str">
        <f t="shared" si="0"/>
        <v>45M</v>
      </c>
      <c r="C47" s="65">
        <f t="shared" si="1"/>
        <v>0.04</v>
      </c>
      <c r="D47" s="66">
        <f t="shared" si="2"/>
        <v>5.424000000000008E-2</v>
      </c>
      <c r="E47" s="67">
        <f t="shared" si="3"/>
        <v>5.1000000000000011E-2</v>
      </c>
    </row>
    <row r="48" spans="1:5" x14ac:dyDescent="0.6">
      <c r="A48" s="55">
        <v>46</v>
      </c>
      <c r="B48" s="55" t="str">
        <f t="shared" si="0"/>
        <v>46M</v>
      </c>
      <c r="C48" s="65">
        <f t="shared" si="1"/>
        <v>0.04</v>
      </c>
      <c r="D48" s="66">
        <f t="shared" si="2"/>
        <v>5.4450000000000082E-2</v>
      </c>
      <c r="E48" s="67">
        <f t="shared" si="3"/>
        <v>5.1250000000000011E-2</v>
      </c>
    </row>
    <row r="49" spans="1:5" x14ac:dyDescent="0.6">
      <c r="A49" s="55">
        <v>47</v>
      </c>
      <c r="B49" s="55" t="str">
        <f t="shared" si="0"/>
        <v>47M</v>
      </c>
      <c r="C49" s="65">
        <f t="shared" si="1"/>
        <v>0.04</v>
      </c>
      <c r="D49" s="66">
        <f t="shared" si="2"/>
        <v>5.4660000000000084E-2</v>
      </c>
      <c r="E49" s="67">
        <f t="shared" si="3"/>
        <v>5.1500000000000011E-2</v>
      </c>
    </row>
    <row r="50" spans="1:5" x14ac:dyDescent="0.6">
      <c r="A50" s="55">
        <v>48</v>
      </c>
      <c r="B50" s="55" t="str">
        <f t="shared" si="0"/>
        <v>48M</v>
      </c>
      <c r="C50" s="65">
        <f t="shared" si="1"/>
        <v>0.04</v>
      </c>
      <c r="D50" s="66">
        <f t="shared" si="2"/>
        <v>5.4870000000000085E-2</v>
      </c>
      <c r="E50" s="67">
        <f t="shared" si="3"/>
        <v>5.1750000000000011E-2</v>
      </c>
    </row>
    <row r="51" spans="1:5" x14ac:dyDescent="0.6">
      <c r="A51" s="55">
        <v>49</v>
      </c>
      <c r="B51" s="55" t="str">
        <f t="shared" si="0"/>
        <v>49M</v>
      </c>
      <c r="C51" s="65">
        <f t="shared" si="1"/>
        <v>0.04</v>
      </c>
      <c r="D51" s="66">
        <f t="shared" si="2"/>
        <v>5.5080000000000087E-2</v>
      </c>
      <c r="E51" s="67">
        <f t="shared" si="3"/>
        <v>5.2000000000000011E-2</v>
      </c>
    </row>
    <row r="52" spans="1:5" x14ac:dyDescent="0.6">
      <c r="A52" s="55">
        <v>50</v>
      </c>
      <c r="B52" s="55" t="str">
        <f t="shared" si="0"/>
        <v>50M</v>
      </c>
      <c r="C52" s="65">
        <f t="shared" si="1"/>
        <v>0.04</v>
      </c>
      <c r="D52" s="66">
        <f t="shared" si="2"/>
        <v>5.5290000000000089E-2</v>
      </c>
      <c r="E52" s="67">
        <f t="shared" si="3"/>
        <v>5.2250000000000012E-2</v>
      </c>
    </row>
    <row r="53" spans="1:5" x14ac:dyDescent="0.6">
      <c r="A53" s="55">
        <v>51</v>
      </c>
      <c r="B53" s="55" t="str">
        <f t="shared" si="0"/>
        <v>51M</v>
      </c>
      <c r="C53" s="65">
        <f t="shared" si="1"/>
        <v>0.04</v>
      </c>
      <c r="D53" s="66">
        <f t="shared" si="2"/>
        <v>5.5500000000000091E-2</v>
      </c>
      <c r="E53" s="67">
        <f t="shared" si="3"/>
        <v>5.2500000000000012E-2</v>
      </c>
    </row>
    <row r="54" spans="1:5" x14ac:dyDescent="0.6">
      <c r="A54" s="55">
        <v>52</v>
      </c>
      <c r="B54" s="55" t="str">
        <f t="shared" si="0"/>
        <v>52M</v>
      </c>
      <c r="C54" s="65">
        <f t="shared" si="1"/>
        <v>0.04</v>
      </c>
      <c r="D54" s="66">
        <f t="shared" si="2"/>
        <v>5.5710000000000093E-2</v>
      </c>
      <c r="E54" s="67">
        <f t="shared" si="3"/>
        <v>5.2750000000000012E-2</v>
      </c>
    </row>
    <row r="55" spans="1:5" x14ac:dyDescent="0.6">
      <c r="A55" s="55">
        <v>53</v>
      </c>
      <c r="B55" s="55" t="str">
        <f t="shared" si="0"/>
        <v>53M</v>
      </c>
      <c r="C55" s="65">
        <f t="shared" si="1"/>
        <v>0.04</v>
      </c>
      <c r="D55" s="66">
        <f t="shared" si="2"/>
        <v>5.5920000000000095E-2</v>
      </c>
      <c r="E55" s="67">
        <f t="shared" si="3"/>
        <v>5.3000000000000012E-2</v>
      </c>
    </row>
    <row r="56" spans="1:5" x14ac:dyDescent="0.6">
      <c r="A56" s="55">
        <v>54</v>
      </c>
      <c r="B56" s="55" t="str">
        <f t="shared" si="0"/>
        <v>54M</v>
      </c>
      <c r="C56" s="65">
        <f t="shared" si="1"/>
        <v>0.04</v>
      </c>
      <c r="D56" s="66">
        <f t="shared" si="2"/>
        <v>5.6130000000000096E-2</v>
      </c>
      <c r="E56" s="67">
        <f t="shared" si="3"/>
        <v>5.3250000000000013E-2</v>
      </c>
    </row>
    <row r="57" spans="1:5" x14ac:dyDescent="0.6">
      <c r="A57" s="55">
        <v>55</v>
      </c>
      <c r="B57" s="55" t="str">
        <f t="shared" si="0"/>
        <v>55M</v>
      </c>
      <c r="C57" s="65">
        <f t="shared" si="1"/>
        <v>0.04</v>
      </c>
      <c r="D57" s="66">
        <f t="shared" si="2"/>
        <v>5.6340000000000098E-2</v>
      </c>
      <c r="E57" s="67">
        <f t="shared" si="3"/>
        <v>5.3500000000000013E-2</v>
      </c>
    </row>
    <row r="58" spans="1:5" x14ac:dyDescent="0.6">
      <c r="A58" s="55">
        <v>56</v>
      </c>
      <c r="B58" s="55" t="str">
        <f t="shared" si="0"/>
        <v>56M</v>
      </c>
      <c r="C58" s="65">
        <f t="shared" si="1"/>
        <v>0.04</v>
      </c>
      <c r="D58" s="66">
        <f t="shared" si="2"/>
        <v>5.65500000000001E-2</v>
      </c>
      <c r="E58" s="67">
        <f t="shared" si="3"/>
        <v>5.3750000000000013E-2</v>
      </c>
    </row>
    <row r="59" spans="1:5" x14ac:dyDescent="0.6">
      <c r="A59" s="55">
        <v>57</v>
      </c>
      <c r="B59" s="55" t="str">
        <f t="shared" si="0"/>
        <v>57M</v>
      </c>
      <c r="C59" s="65">
        <f t="shared" si="1"/>
        <v>0.04</v>
      </c>
      <c r="D59" s="66">
        <f t="shared" si="2"/>
        <v>5.6760000000000102E-2</v>
      </c>
      <c r="E59" s="67">
        <f t="shared" si="3"/>
        <v>5.4000000000000013E-2</v>
      </c>
    </row>
    <row r="60" spans="1:5" x14ac:dyDescent="0.6">
      <c r="A60" s="55">
        <v>58</v>
      </c>
      <c r="B60" s="55" t="str">
        <f t="shared" si="0"/>
        <v>58M</v>
      </c>
      <c r="C60" s="65">
        <f t="shared" si="1"/>
        <v>0.04</v>
      </c>
      <c r="D60" s="66">
        <f t="shared" si="2"/>
        <v>5.6970000000000104E-2</v>
      </c>
      <c r="E60" s="67">
        <f t="shared" si="3"/>
        <v>5.4250000000000013E-2</v>
      </c>
    </row>
    <row r="61" spans="1:5" x14ac:dyDescent="0.6">
      <c r="A61" s="55">
        <v>59</v>
      </c>
      <c r="B61" s="55" t="str">
        <f t="shared" si="0"/>
        <v>59M</v>
      </c>
      <c r="C61" s="65">
        <f t="shared" si="1"/>
        <v>0.04</v>
      </c>
      <c r="D61" s="66">
        <f t="shared" si="2"/>
        <v>5.7180000000000106E-2</v>
      </c>
      <c r="E61" s="67">
        <f t="shared" si="3"/>
        <v>5.4500000000000014E-2</v>
      </c>
    </row>
    <row r="62" spans="1:5" x14ac:dyDescent="0.6">
      <c r="A62" s="55">
        <v>60</v>
      </c>
      <c r="B62" s="55" t="str">
        <f t="shared" si="0"/>
        <v>60M</v>
      </c>
      <c r="C62" s="65">
        <f t="shared" si="1"/>
        <v>0.04</v>
      </c>
      <c r="D62" s="66">
        <f t="shared" si="2"/>
        <v>5.7390000000000108E-2</v>
      </c>
      <c r="E62" s="67">
        <f t="shared" si="3"/>
        <v>5.4750000000000014E-2</v>
      </c>
    </row>
    <row r="63" spans="1:5" x14ac:dyDescent="0.6">
      <c r="A63" s="55">
        <v>61</v>
      </c>
      <c r="B63" s="55" t="str">
        <f t="shared" si="0"/>
        <v>61M</v>
      </c>
      <c r="C63" s="65">
        <f t="shared" si="1"/>
        <v>0.04</v>
      </c>
      <c r="D63" s="66">
        <f t="shared" si="2"/>
        <v>5.7600000000000109E-2</v>
      </c>
      <c r="E63" s="67">
        <f t="shared" si="3"/>
        <v>5.5000000000000014E-2</v>
      </c>
    </row>
    <row r="64" spans="1:5" x14ac:dyDescent="0.6">
      <c r="A64" s="55">
        <v>62</v>
      </c>
      <c r="B64" s="55" t="str">
        <f t="shared" si="0"/>
        <v>62M</v>
      </c>
      <c r="C64" s="65">
        <f t="shared" si="1"/>
        <v>0.04</v>
      </c>
      <c r="D64" s="66">
        <f t="shared" si="2"/>
        <v>5.7810000000000111E-2</v>
      </c>
      <c r="E64" s="67">
        <f t="shared" si="3"/>
        <v>5.5250000000000014E-2</v>
      </c>
    </row>
    <row r="65" spans="1:5" x14ac:dyDescent="0.6">
      <c r="A65" s="55">
        <v>63</v>
      </c>
      <c r="B65" s="55" t="str">
        <f t="shared" si="0"/>
        <v>63M</v>
      </c>
      <c r="C65" s="65">
        <f t="shared" si="1"/>
        <v>0.04</v>
      </c>
      <c r="D65" s="66">
        <f t="shared" si="2"/>
        <v>5.8020000000000113E-2</v>
      </c>
      <c r="E65" s="67">
        <f t="shared" si="3"/>
        <v>5.5500000000000015E-2</v>
      </c>
    </row>
    <row r="66" spans="1:5" x14ac:dyDescent="0.6">
      <c r="A66" s="55">
        <v>64</v>
      </c>
      <c r="B66" s="55" t="str">
        <f t="shared" si="0"/>
        <v>64M</v>
      </c>
      <c r="C66" s="65">
        <f t="shared" si="1"/>
        <v>0.04</v>
      </c>
      <c r="D66" s="66">
        <f t="shared" si="2"/>
        <v>5.8230000000000115E-2</v>
      </c>
      <c r="E66" s="67">
        <f t="shared" si="3"/>
        <v>5.5750000000000015E-2</v>
      </c>
    </row>
    <row r="67" spans="1:5" x14ac:dyDescent="0.6">
      <c r="A67" s="55">
        <v>65</v>
      </c>
      <c r="B67" s="55" t="str">
        <f t="shared" si="0"/>
        <v>65M</v>
      </c>
      <c r="C67" s="65">
        <f t="shared" si="1"/>
        <v>0.04</v>
      </c>
      <c r="D67" s="66">
        <f t="shared" si="2"/>
        <v>5.8440000000000117E-2</v>
      </c>
      <c r="E67" s="67">
        <f t="shared" si="3"/>
        <v>5.6000000000000015E-2</v>
      </c>
    </row>
    <row r="68" spans="1:5" x14ac:dyDescent="0.6">
      <c r="A68" s="55">
        <v>66</v>
      </c>
      <c r="B68" s="55" t="str">
        <f t="shared" ref="B68:B122" si="4">A68&amp;"M"</f>
        <v>66M</v>
      </c>
      <c r="C68" s="65">
        <f t="shared" si="1"/>
        <v>0.04</v>
      </c>
      <c r="D68" s="66">
        <f t="shared" si="2"/>
        <v>5.8650000000000119E-2</v>
      </c>
      <c r="E68" s="67">
        <f t="shared" si="3"/>
        <v>5.6250000000000015E-2</v>
      </c>
    </row>
    <row r="69" spans="1:5" x14ac:dyDescent="0.6">
      <c r="A69" s="55">
        <v>67</v>
      </c>
      <c r="B69" s="55" t="str">
        <f t="shared" si="4"/>
        <v>67M</v>
      </c>
      <c r="C69" s="65">
        <f t="shared" ref="C69:C122" si="5">$C$3</f>
        <v>0.04</v>
      </c>
      <c r="D69" s="66">
        <f t="shared" ref="D69:D122" si="6">D68+0.00021</f>
        <v>5.8860000000000121E-2</v>
      </c>
      <c r="E69" s="67">
        <f t="shared" ref="E69:E122" si="7">E68+0.00025</f>
        <v>5.6500000000000015E-2</v>
      </c>
    </row>
    <row r="70" spans="1:5" x14ac:dyDescent="0.6">
      <c r="A70" s="55">
        <v>68</v>
      </c>
      <c r="B70" s="55" t="str">
        <f t="shared" si="4"/>
        <v>68M</v>
      </c>
      <c r="C70" s="65">
        <f t="shared" si="5"/>
        <v>0.04</v>
      </c>
      <c r="D70" s="66">
        <f t="shared" si="6"/>
        <v>5.9070000000000122E-2</v>
      </c>
      <c r="E70" s="67">
        <f t="shared" si="7"/>
        <v>5.6750000000000016E-2</v>
      </c>
    </row>
    <row r="71" spans="1:5" x14ac:dyDescent="0.6">
      <c r="A71" s="55">
        <v>69</v>
      </c>
      <c r="B71" s="55" t="str">
        <f t="shared" si="4"/>
        <v>69M</v>
      </c>
      <c r="C71" s="65">
        <f t="shared" si="5"/>
        <v>0.04</v>
      </c>
      <c r="D71" s="66">
        <f t="shared" si="6"/>
        <v>5.9280000000000124E-2</v>
      </c>
      <c r="E71" s="67">
        <f t="shared" si="7"/>
        <v>5.7000000000000016E-2</v>
      </c>
    </row>
    <row r="72" spans="1:5" x14ac:dyDescent="0.6">
      <c r="A72" s="55">
        <v>70</v>
      </c>
      <c r="B72" s="55" t="str">
        <f t="shared" si="4"/>
        <v>70M</v>
      </c>
      <c r="C72" s="65">
        <f t="shared" si="5"/>
        <v>0.04</v>
      </c>
      <c r="D72" s="66">
        <f t="shared" si="6"/>
        <v>5.9490000000000126E-2</v>
      </c>
      <c r="E72" s="67">
        <f t="shared" si="7"/>
        <v>5.7250000000000016E-2</v>
      </c>
    </row>
    <row r="73" spans="1:5" x14ac:dyDescent="0.6">
      <c r="A73" s="55">
        <v>71</v>
      </c>
      <c r="B73" s="55" t="str">
        <f t="shared" si="4"/>
        <v>71M</v>
      </c>
      <c r="C73" s="65">
        <f t="shared" si="5"/>
        <v>0.04</v>
      </c>
      <c r="D73" s="66">
        <f t="shared" si="6"/>
        <v>5.9700000000000128E-2</v>
      </c>
      <c r="E73" s="67">
        <f t="shared" si="7"/>
        <v>5.7500000000000016E-2</v>
      </c>
    </row>
    <row r="74" spans="1:5" x14ac:dyDescent="0.6">
      <c r="A74" s="55">
        <v>72</v>
      </c>
      <c r="B74" s="55" t="str">
        <f t="shared" si="4"/>
        <v>72M</v>
      </c>
      <c r="C74" s="65">
        <f t="shared" si="5"/>
        <v>0.04</v>
      </c>
      <c r="D74" s="66">
        <f t="shared" si="6"/>
        <v>5.991000000000013E-2</v>
      </c>
      <c r="E74" s="67">
        <f t="shared" si="7"/>
        <v>5.7750000000000017E-2</v>
      </c>
    </row>
    <row r="75" spans="1:5" x14ac:dyDescent="0.6">
      <c r="A75" s="55">
        <v>73</v>
      </c>
      <c r="B75" s="55" t="str">
        <f t="shared" si="4"/>
        <v>73M</v>
      </c>
      <c r="C75" s="65">
        <f t="shared" si="5"/>
        <v>0.04</v>
      </c>
      <c r="D75" s="66">
        <f t="shared" si="6"/>
        <v>6.0120000000000132E-2</v>
      </c>
      <c r="E75" s="67">
        <f t="shared" si="7"/>
        <v>5.8000000000000017E-2</v>
      </c>
    </row>
    <row r="76" spans="1:5" x14ac:dyDescent="0.6">
      <c r="A76" s="55">
        <v>74</v>
      </c>
      <c r="B76" s="55" t="str">
        <f t="shared" si="4"/>
        <v>74M</v>
      </c>
      <c r="C76" s="65">
        <f t="shared" si="5"/>
        <v>0.04</v>
      </c>
      <c r="D76" s="66">
        <f t="shared" si="6"/>
        <v>6.0330000000000134E-2</v>
      </c>
      <c r="E76" s="67">
        <f t="shared" si="7"/>
        <v>5.8250000000000017E-2</v>
      </c>
    </row>
    <row r="77" spans="1:5" x14ac:dyDescent="0.6">
      <c r="A77" s="55">
        <v>75</v>
      </c>
      <c r="B77" s="55" t="str">
        <f t="shared" si="4"/>
        <v>75M</v>
      </c>
      <c r="C77" s="65">
        <f t="shared" si="5"/>
        <v>0.04</v>
      </c>
      <c r="D77" s="66">
        <f t="shared" si="6"/>
        <v>6.0540000000000135E-2</v>
      </c>
      <c r="E77" s="67">
        <f t="shared" si="7"/>
        <v>5.8500000000000017E-2</v>
      </c>
    </row>
    <row r="78" spans="1:5" x14ac:dyDescent="0.6">
      <c r="A78" s="55">
        <v>76</v>
      </c>
      <c r="B78" s="55" t="str">
        <f t="shared" si="4"/>
        <v>76M</v>
      </c>
      <c r="C78" s="65">
        <f t="shared" si="5"/>
        <v>0.04</v>
      </c>
      <c r="D78" s="66">
        <f t="shared" si="6"/>
        <v>6.0750000000000137E-2</v>
      </c>
      <c r="E78" s="67">
        <f t="shared" si="7"/>
        <v>5.8750000000000017E-2</v>
      </c>
    </row>
    <row r="79" spans="1:5" x14ac:dyDescent="0.6">
      <c r="A79" s="55">
        <v>77</v>
      </c>
      <c r="B79" s="55" t="str">
        <f t="shared" si="4"/>
        <v>77M</v>
      </c>
      <c r="C79" s="65">
        <f t="shared" si="5"/>
        <v>0.04</v>
      </c>
      <c r="D79" s="66">
        <f t="shared" si="6"/>
        <v>6.0960000000000139E-2</v>
      </c>
      <c r="E79" s="67">
        <f t="shared" si="7"/>
        <v>5.9000000000000018E-2</v>
      </c>
    </row>
    <row r="80" spans="1:5" x14ac:dyDescent="0.6">
      <c r="A80" s="55">
        <v>78</v>
      </c>
      <c r="B80" s="55" t="str">
        <f t="shared" si="4"/>
        <v>78M</v>
      </c>
      <c r="C80" s="65">
        <f t="shared" si="5"/>
        <v>0.04</v>
      </c>
      <c r="D80" s="66">
        <f t="shared" si="6"/>
        <v>6.1170000000000141E-2</v>
      </c>
      <c r="E80" s="67">
        <f t="shared" si="7"/>
        <v>5.9250000000000018E-2</v>
      </c>
    </row>
    <row r="81" spans="1:5" x14ac:dyDescent="0.6">
      <c r="A81" s="55">
        <v>79</v>
      </c>
      <c r="B81" s="55" t="str">
        <f t="shared" si="4"/>
        <v>79M</v>
      </c>
      <c r="C81" s="65">
        <f t="shared" si="5"/>
        <v>0.04</v>
      </c>
      <c r="D81" s="66">
        <f t="shared" si="6"/>
        <v>6.1380000000000143E-2</v>
      </c>
      <c r="E81" s="67">
        <f t="shared" si="7"/>
        <v>5.9500000000000018E-2</v>
      </c>
    </row>
    <row r="82" spans="1:5" x14ac:dyDescent="0.6">
      <c r="A82" s="55">
        <v>80</v>
      </c>
      <c r="B82" s="55" t="str">
        <f t="shared" si="4"/>
        <v>80M</v>
      </c>
      <c r="C82" s="65">
        <f t="shared" si="5"/>
        <v>0.04</v>
      </c>
      <c r="D82" s="66">
        <f t="shared" si="6"/>
        <v>6.1590000000000145E-2</v>
      </c>
      <c r="E82" s="67">
        <f t="shared" si="7"/>
        <v>5.9750000000000018E-2</v>
      </c>
    </row>
    <row r="83" spans="1:5" x14ac:dyDescent="0.6">
      <c r="A83" s="55">
        <v>81</v>
      </c>
      <c r="B83" s="55" t="str">
        <f t="shared" si="4"/>
        <v>81M</v>
      </c>
      <c r="C83" s="65">
        <f t="shared" si="5"/>
        <v>0.04</v>
      </c>
      <c r="D83" s="66">
        <f t="shared" si="6"/>
        <v>6.1800000000000146E-2</v>
      </c>
      <c r="E83" s="67">
        <f t="shared" si="7"/>
        <v>6.0000000000000019E-2</v>
      </c>
    </row>
    <row r="84" spans="1:5" x14ac:dyDescent="0.6">
      <c r="A84" s="55">
        <v>82</v>
      </c>
      <c r="B84" s="55" t="str">
        <f t="shared" si="4"/>
        <v>82M</v>
      </c>
      <c r="C84" s="65">
        <f t="shared" si="5"/>
        <v>0.04</v>
      </c>
      <c r="D84" s="66">
        <f t="shared" si="6"/>
        <v>6.2010000000000148E-2</v>
      </c>
      <c r="E84" s="67">
        <f t="shared" si="7"/>
        <v>6.0250000000000019E-2</v>
      </c>
    </row>
    <row r="85" spans="1:5" x14ac:dyDescent="0.6">
      <c r="A85" s="55">
        <v>83</v>
      </c>
      <c r="B85" s="55" t="str">
        <f t="shared" si="4"/>
        <v>83M</v>
      </c>
      <c r="C85" s="65">
        <f t="shared" si="5"/>
        <v>0.04</v>
      </c>
      <c r="D85" s="66">
        <f t="shared" si="6"/>
        <v>6.222000000000015E-2</v>
      </c>
      <c r="E85" s="67">
        <f t="shared" si="7"/>
        <v>6.0500000000000019E-2</v>
      </c>
    </row>
    <row r="86" spans="1:5" x14ac:dyDescent="0.6">
      <c r="A86" s="55">
        <v>84</v>
      </c>
      <c r="B86" s="55" t="str">
        <f t="shared" si="4"/>
        <v>84M</v>
      </c>
      <c r="C86" s="65">
        <f t="shared" si="5"/>
        <v>0.04</v>
      </c>
      <c r="D86" s="66">
        <f t="shared" si="6"/>
        <v>6.2430000000000152E-2</v>
      </c>
      <c r="E86" s="67">
        <f t="shared" si="7"/>
        <v>6.0750000000000019E-2</v>
      </c>
    </row>
    <row r="87" spans="1:5" x14ac:dyDescent="0.6">
      <c r="A87" s="55">
        <v>85</v>
      </c>
      <c r="B87" s="55" t="str">
        <f t="shared" si="4"/>
        <v>85M</v>
      </c>
      <c r="C87" s="65">
        <f t="shared" si="5"/>
        <v>0.04</v>
      </c>
      <c r="D87" s="66">
        <f t="shared" si="6"/>
        <v>6.2640000000000154E-2</v>
      </c>
      <c r="E87" s="67">
        <f t="shared" si="7"/>
        <v>6.1000000000000019E-2</v>
      </c>
    </row>
    <row r="88" spans="1:5" x14ac:dyDescent="0.6">
      <c r="A88" s="55">
        <v>86</v>
      </c>
      <c r="B88" s="55" t="str">
        <f t="shared" si="4"/>
        <v>86M</v>
      </c>
      <c r="C88" s="65">
        <f t="shared" si="5"/>
        <v>0.04</v>
      </c>
      <c r="D88" s="66">
        <f t="shared" si="6"/>
        <v>6.2850000000000156E-2</v>
      </c>
      <c r="E88" s="67">
        <f t="shared" si="7"/>
        <v>6.125000000000002E-2</v>
      </c>
    </row>
    <row r="89" spans="1:5" x14ac:dyDescent="0.6">
      <c r="A89" s="55">
        <v>87</v>
      </c>
      <c r="B89" s="55" t="str">
        <f t="shared" si="4"/>
        <v>87M</v>
      </c>
      <c r="C89" s="65">
        <f t="shared" si="5"/>
        <v>0.04</v>
      </c>
      <c r="D89" s="66">
        <f t="shared" si="6"/>
        <v>6.3060000000000158E-2</v>
      </c>
      <c r="E89" s="67">
        <f t="shared" si="7"/>
        <v>6.150000000000002E-2</v>
      </c>
    </row>
    <row r="90" spans="1:5" x14ac:dyDescent="0.6">
      <c r="A90" s="55">
        <v>88</v>
      </c>
      <c r="B90" s="55" t="str">
        <f t="shared" si="4"/>
        <v>88M</v>
      </c>
      <c r="C90" s="65">
        <f t="shared" si="5"/>
        <v>0.04</v>
      </c>
      <c r="D90" s="66">
        <f t="shared" si="6"/>
        <v>6.3270000000000159E-2</v>
      </c>
      <c r="E90" s="67">
        <f t="shared" si="7"/>
        <v>6.175000000000002E-2</v>
      </c>
    </row>
    <row r="91" spans="1:5" x14ac:dyDescent="0.6">
      <c r="A91" s="55">
        <v>89</v>
      </c>
      <c r="B91" s="55" t="str">
        <f t="shared" si="4"/>
        <v>89M</v>
      </c>
      <c r="C91" s="65">
        <f t="shared" si="5"/>
        <v>0.04</v>
      </c>
      <c r="D91" s="66">
        <f t="shared" si="6"/>
        <v>6.3480000000000161E-2</v>
      </c>
      <c r="E91" s="67">
        <f t="shared" si="7"/>
        <v>6.200000000000002E-2</v>
      </c>
    </row>
    <row r="92" spans="1:5" x14ac:dyDescent="0.6">
      <c r="A92" s="55">
        <v>90</v>
      </c>
      <c r="B92" s="55" t="str">
        <f t="shared" si="4"/>
        <v>90M</v>
      </c>
      <c r="C92" s="65">
        <f t="shared" si="5"/>
        <v>0.04</v>
      </c>
      <c r="D92" s="66">
        <f t="shared" si="6"/>
        <v>6.3690000000000163E-2</v>
      </c>
      <c r="E92" s="67">
        <f t="shared" si="7"/>
        <v>6.2250000000000021E-2</v>
      </c>
    </row>
    <row r="93" spans="1:5" x14ac:dyDescent="0.6">
      <c r="A93" s="55">
        <v>91</v>
      </c>
      <c r="B93" s="55" t="str">
        <f t="shared" si="4"/>
        <v>91M</v>
      </c>
      <c r="C93" s="65">
        <f t="shared" si="5"/>
        <v>0.04</v>
      </c>
      <c r="D93" s="66">
        <f t="shared" si="6"/>
        <v>6.3900000000000165E-2</v>
      </c>
      <c r="E93" s="67">
        <f t="shared" si="7"/>
        <v>6.2500000000000014E-2</v>
      </c>
    </row>
    <row r="94" spans="1:5" x14ac:dyDescent="0.6">
      <c r="A94" s="55">
        <v>92</v>
      </c>
      <c r="B94" s="55" t="str">
        <f t="shared" si="4"/>
        <v>92M</v>
      </c>
      <c r="C94" s="65">
        <f t="shared" si="5"/>
        <v>0.04</v>
      </c>
      <c r="D94" s="66">
        <f t="shared" si="6"/>
        <v>6.4110000000000167E-2</v>
      </c>
      <c r="E94" s="67">
        <f t="shared" si="7"/>
        <v>6.2750000000000014E-2</v>
      </c>
    </row>
    <row r="95" spans="1:5" x14ac:dyDescent="0.6">
      <c r="A95" s="55">
        <v>93</v>
      </c>
      <c r="B95" s="55" t="str">
        <f t="shared" si="4"/>
        <v>93M</v>
      </c>
      <c r="C95" s="65">
        <f t="shared" si="5"/>
        <v>0.04</v>
      </c>
      <c r="D95" s="66">
        <f t="shared" si="6"/>
        <v>6.4320000000000169E-2</v>
      </c>
      <c r="E95" s="67">
        <f t="shared" si="7"/>
        <v>6.3000000000000014E-2</v>
      </c>
    </row>
    <row r="96" spans="1:5" x14ac:dyDescent="0.6">
      <c r="A96" s="55">
        <v>94</v>
      </c>
      <c r="B96" s="55" t="str">
        <f t="shared" si="4"/>
        <v>94M</v>
      </c>
      <c r="C96" s="65">
        <f t="shared" si="5"/>
        <v>0.04</v>
      </c>
      <c r="D96" s="66">
        <f t="shared" si="6"/>
        <v>6.4530000000000171E-2</v>
      </c>
      <c r="E96" s="67">
        <f t="shared" si="7"/>
        <v>6.3250000000000015E-2</v>
      </c>
    </row>
    <row r="97" spans="1:5" x14ac:dyDescent="0.6">
      <c r="A97" s="55">
        <v>95</v>
      </c>
      <c r="B97" s="55" t="str">
        <f t="shared" si="4"/>
        <v>95M</v>
      </c>
      <c r="C97" s="65">
        <f t="shared" si="5"/>
        <v>0.04</v>
      </c>
      <c r="D97" s="66">
        <f t="shared" si="6"/>
        <v>6.4740000000000172E-2</v>
      </c>
      <c r="E97" s="67">
        <f t="shared" si="7"/>
        <v>6.3500000000000015E-2</v>
      </c>
    </row>
    <row r="98" spans="1:5" x14ac:dyDescent="0.6">
      <c r="A98" s="55">
        <v>96</v>
      </c>
      <c r="B98" s="55" t="str">
        <f t="shared" si="4"/>
        <v>96M</v>
      </c>
      <c r="C98" s="65">
        <f t="shared" si="5"/>
        <v>0.04</v>
      </c>
      <c r="D98" s="66">
        <f t="shared" si="6"/>
        <v>6.4950000000000174E-2</v>
      </c>
      <c r="E98" s="67">
        <f t="shared" si="7"/>
        <v>6.3750000000000015E-2</v>
      </c>
    </row>
    <row r="99" spans="1:5" x14ac:dyDescent="0.6">
      <c r="A99" s="55">
        <v>97</v>
      </c>
      <c r="B99" s="55" t="str">
        <f t="shared" si="4"/>
        <v>97M</v>
      </c>
      <c r="C99" s="65">
        <f t="shared" si="5"/>
        <v>0.04</v>
      </c>
      <c r="D99" s="66">
        <f t="shared" si="6"/>
        <v>6.5160000000000176E-2</v>
      </c>
      <c r="E99" s="67">
        <f t="shared" si="7"/>
        <v>6.4000000000000015E-2</v>
      </c>
    </row>
    <row r="100" spans="1:5" x14ac:dyDescent="0.6">
      <c r="A100" s="55">
        <v>98</v>
      </c>
      <c r="B100" s="55" t="str">
        <f t="shared" si="4"/>
        <v>98M</v>
      </c>
      <c r="C100" s="65">
        <f t="shared" si="5"/>
        <v>0.04</v>
      </c>
      <c r="D100" s="66">
        <f t="shared" si="6"/>
        <v>6.5370000000000178E-2</v>
      </c>
      <c r="E100" s="67">
        <f t="shared" si="7"/>
        <v>6.4250000000000015E-2</v>
      </c>
    </row>
    <row r="101" spans="1:5" x14ac:dyDescent="0.6">
      <c r="A101" s="55">
        <v>99</v>
      </c>
      <c r="B101" s="55" t="str">
        <f t="shared" si="4"/>
        <v>99M</v>
      </c>
      <c r="C101" s="65">
        <f t="shared" si="5"/>
        <v>0.04</v>
      </c>
      <c r="D101" s="66">
        <f t="shared" si="6"/>
        <v>6.558000000000018E-2</v>
      </c>
      <c r="E101" s="67">
        <f t="shared" si="7"/>
        <v>6.4500000000000016E-2</v>
      </c>
    </row>
    <row r="102" spans="1:5" x14ac:dyDescent="0.6">
      <c r="A102" s="55">
        <v>100</v>
      </c>
      <c r="B102" s="55" t="str">
        <f t="shared" si="4"/>
        <v>100M</v>
      </c>
      <c r="C102" s="65">
        <f t="shared" si="5"/>
        <v>0.04</v>
      </c>
      <c r="D102" s="66">
        <f t="shared" si="6"/>
        <v>6.5790000000000182E-2</v>
      </c>
      <c r="E102" s="67">
        <f t="shared" si="7"/>
        <v>6.4750000000000016E-2</v>
      </c>
    </row>
    <row r="103" spans="1:5" x14ac:dyDescent="0.6">
      <c r="A103" s="55">
        <v>101</v>
      </c>
      <c r="B103" s="55" t="str">
        <f t="shared" si="4"/>
        <v>101M</v>
      </c>
      <c r="C103" s="65">
        <f t="shared" si="5"/>
        <v>0.04</v>
      </c>
      <c r="D103" s="66">
        <f t="shared" si="6"/>
        <v>6.6000000000000184E-2</v>
      </c>
      <c r="E103" s="67">
        <f t="shared" si="7"/>
        <v>6.5000000000000016E-2</v>
      </c>
    </row>
    <row r="104" spans="1:5" x14ac:dyDescent="0.6">
      <c r="A104" s="55">
        <v>102</v>
      </c>
      <c r="B104" s="55" t="str">
        <f t="shared" si="4"/>
        <v>102M</v>
      </c>
      <c r="C104" s="65">
        <f t="shared" si="5"/>
        <v>0.04</v>
      </c>
      <c r="D104" s="66">
        <f t="shared" si="6"/>
        <v>6.6210000000000185E-2</v>
      </c>
      <c r="E104" s="67">
        <f t="shared" si="7"/>
        <v>6.5250000000000016E-2</v>
      </c>
    </row>
    <row r="105" spans="1:5" x14ac:dyDescent="0.6">
      <c r="A105" s="55">
        <v>103</v>
      </c>
      <c r="B105" s="55" t="str">
        <f t="shared" si="4"/>
        <v>103M</v>
      </c>
      <c r="C105" s="65">
        <f t="shared" si="5"/>
        <v>0.04</v>
      </c>
      <c r="D105" s="66">
        <f t="shared" si="6"/>
        <v>6.6420000000000187E-2</v>
      </c>
      <c r="E105" s="67">
        <f t="shared" si="7"/>
        <v>6.5500000000000017E-2</v>
      </c>
    </row>
    <row r="106" spans="1:5" x14ac:dyDescent="0.6">
      <c r="A106" s="55">
        <v>104</v>
      </c>
      <c r="B106" s="55" t="str">
        <f t="shared" si="4"/>
        <v>104M</v>
      </c>
      <c r="C106" s="65">
        <f t="shared" si="5"/>
        <v>0.04</v>
      </c>
      <c r="D106" s="66">
        <f t="shared" si="6"/>
        <v>6.6630000000000189E-2</v>
      </c>
      <c r="E106" s="67">
        <f t="shared" si="7"/>
        <v>6.5750000000000017E-2</v>
      </c>
    </row>
    <row r="107" spans="1:5" x14ac:dyDescent="0.6">
      <c r="A107" s="55">
        <v>105</v>
      </c>
      <c r="B107" s="55" t="str">
        <f t="shared" si="4"/>
        <v>105M</v>
      </c>
      <c r="C107" s="65">
        <f t="shared" si="5"/>
        <v>0.04</v>
      </c>
      <c r="D107" s="66">
        <f t="shared" si="6"/>
        <v>6.6840000000000191E-2</v>
      </c>
      <c r="E107" s="67">
        <f t="shared" si="7"/>
        <v>6.6000000000000017E-2</v>
      </c>
    </row>
    <row r="108" spans="1:5" x14ac:dyDescent="0.6">
      <c r="A108" s="55">
        <v>106</v>
      </c>
      <c r="B108" s="55" t="str">
        <f t="shared" si="4"/>
        <v>106M</v>
      </c>
      <c r="C108" s="65">
        <f t="shared" si="5"/>
        <v>0.04</v>
      </c>
      <c r="D108" s="66">
        <f t="shared" si="6"/>
        <v>6.7050000000000193E-2</v>
      </c>
      <c r="E108" s="67">
        <f t="shared" si="7"/>
        <v>6.6250000000000017E-2</v>
      </c>
    </row>
    <row r="109" spans="1:5" x14ac:dyDescent="0.6">
      <c r="A109" s="55">
        <v>107</v>
      </c>
      <c r="B109" s="55" t="str">
        <f t="shared" si="4"/>
        <v>107M</v>
      </c>
      <c r="C109" s="65">
        <f t="shared" si="5"/>
        <v>0.04</v>
      </c>
      <c r="D109" s="66">
        <f t="shared" si="6"/>
        <v>6.7260000000000195E-2</v>
      </c>
      <c r="E109" s="67">
        <f t="shared" si="7"/>
        <v>6.6500000000000017E-2</v>
      </c>
    </row>
    <row r="110" spans="1:5" x14ac:dyDescent="0.6">
      <c r="A110" s="55">
        <v>108</v>
      </c>
      <c r="B110" s="55" t="str">
        <f t="shared" si="4"/>
        <v>108M</v>
      </c>
      <c r="C110" s="65">
        <f t="shared" si="5"/>
        <v>0.04</v>
      </c>
      <c r="D110" s="66">
        <f t="shared" si="6"/>
        <v>6.7470000000000196E-2</v>
      </c>
      <c r="E110" s="67">
        <f t="shared" si="7"/>
        <v>6.6750000000000018E-2</v>
      </c>
    </row>
    <row r="111" spans="1:5" x14ac:dyDescent="0.6">
      <c r="A111" s="55">
        <v>109</v>
      </c>
      <c r="B111" s="55" t="str">
        <f t="shared" si="4"/>
        <v>109M</v>
      </c>
      <c r="C111" s="65">
        <f t="shared" si="5"/>
        <v>0.04</v>
      </c>
      <c r="D111" s="66">
        <f t="shared" si="6"/>
        <v>6.7680000000000198E-2</v>
      </c>
      <c r="E111" s="67">
        <f t="shared" si="7"/>
        <v>6.7000000000000018E-2</v>
      </c>
    </row>
    <row r="112" spans="1:5" x14ac:dyDescent="0.6">
      <c r="A112" s="55">
        <v>110</v>
      </c>
      <c r="B112" s="55" t="str">
        <f t="shared" si="4"/>
        <v>110M</v>
      </c>
      <c r="C112" s="65">
        <f t="shared" si="5"/>
        <v>0.04</v>
      </c>
      <c r="D112" s="66">
        <f t="shared" si="6"/>
        <v>6.78900000000002E-2</v>
      </c>
      <c r="E112" s="67">
        <f t="shared" si="7"/>
        <v>6.7250000000000018E-2</v>
      </c>
    </row>
    <row r="113" spans="1:5" x14ac:dyDescent="0.6">
      <c r="A113" s="55">
        <v>111</v>
      </c>
      <c r="B113" s="55" t="str">
        <f t="shared" si="4"/>
        <v>111M</v>
      </c>
      <c r="C113" s="65">
        <f t="shared" si="5"/>
        <v>0.04</v>
      </c>
      <c r="D113" s="66">
        <f t="shared" si="6"/>
        <v>6.8100000000000202E-2</v>
      </c>
      <c r="E113" s="67">
        <f t="shared" si="7"/>
        <v>6.7500000000000018E-2</v>
      </c>
    </row>
    <row r="114" spans="1:5" x14ac:dyDescent="0.6">
      <c r="A114" s="55">
        <v>112</v>
      </c>
      <c r="B114" s="55" t="str">
        <f t="shared" si="4"/>
        <v>112M</v>
      </c>
      <c r="C114" s="65">
        <f t="shared" si="5"/>
        <v>0.04</v>
      </c>
      <c r="D114" s="66">
        <f t="shared" si="6"/>
        <v>6.8310000000000204E-2</v>
      </c>
      <c r="E114" s="67">
        <f t="shared" si="7"/>
        <v>6.7750000000000019E-2</v>
      </c>
    </row>
    <row r="115" spans="1:5" x14ac:dyDescent="0.6">
      <c r="A115" s="55">
        <v>113</v>
      </c>
      <c r="B115" s="55" t="str">
        <f t="shared" si="4"/>
        <v>113M</v>
      </c>
      <c r="C115" s="65">
        <f t="shared" si="5"/>
        <v>0.04</v>
      </c>
      <c r="D115" s="66">
        <f t="shared" si="6"/>
        <v>6.8520000000000206E-2</v>
      </c>
      <c r="E115" s="67">
        <f t="shared" si="7"/>
        <v>6.8000000000000019E-2</v>
      </c>
    </row>
    <row r="116" spans="1:5" x14ac:dyDescent="0.6">
      <c r="A116" s="55">
        <v>114</v>
      </c>
      <c r="B116" s="55" t="str">
        <f t="shared" si="4"/>
        <v>114M</v>
      </c>
      <c r="C116" s="65">
        <f t="shared" si="5"/>
        <v>0.04</v>
      </c>
      <c r="D116" s="66">
        <f t="shared" si="6"/>
        <v>6.8730000000000208E-2</v>
      </c>
      <c r="E116" s="67">
        <f t="shared" si="7"/>
        <v>6.8250000000000019E-2</v>
      </c>
    </row>
    <row r="117" spans="1:5" x14ac:dyDescent="0.6">
      <c r="A117" s="55">
        <v>115</v>
      </c>
      <c r="B117" s="55" t="str">
        <f t="shared" si="4"/>
        <v>115M</v>
      </c>
      <c r="C117" s="65">
        <f t="shared" si="5"/>
        <v>0.04</v>
      </c>
      <c r="D117" s="66">
        <f t="shared" si="6"/>
        <v>6.8940000000000209E-2</v>
      </c>
      <c r="E117" s="67">
        <f t="shared" si="7"/>
        <v>6.8500000000000019E-2</v>
      </c>
    </row>
    <row r="118" spans="1:5" x14ac:dyDescent="0.6">
      <c r="A118" s="55">
        <v>116</v>
      </c>
      <c r="B118" s="55" t="str">
        <f t="shared" si="4"/>
        <v>116M</v>
      </c>
      <c r="C118" s="65">
        <f t="shared" si="5"/>
        <v>0.04</v>
      </c>
      <c r="D118" s="66">
        <f t="shared" si="6"/>
        <v>6.9150000000000211E-2</v>
      </c>
      <c r="E118" s="67">
        <f t="shared" si="7"/>
        <v>6.8750000000000019E-2</v>
      </c>
    </row>
    <row r="119" spans="1:5" x14ac:dyDescent="0.6">
      <c r="A119" s="55">
        <v>117</v>
      </c>
      <c r="B119" s="55" t="str">
        <f t="shared" si="4"/>
        <v>117M</v>
      </c>
      <c r="C119" s="65">
        <f t="shared" si="5"/>
        <v>0.04</v>
      </c>
      <c r="D119" s="66">
        <f t="shared" si="6"/>
        <v>6.9360000000000213E-2</v>
      </c>
      <c r="E119" s="67">
        <f t="shared" si="7"/>
        <v>6.900000000000002E-2</v>
      </c>
    </row>
    <row r="120" spans="1:5" x14ac:dyDescent="0.6">
      <c r="A120" s="55">
        <v>118</v>
      </c>
      <c r="B120" s="55" t="str">
        <f t="shared" si="4"/>
        <v>118M</v>
      </c>
      <c r="C120" s="65">
        <f t="shared" si="5"/>
        <v>0.04</v>
      </c>
      <c r="D120" s="66">
        <f t="shared" si="6"/>
        <v>6.9570000000000215E-2</v>
      </c>
      <c r="E120" s="67">
        <f t="shared" si="7"/>
        <v>6.925000000000002E-2</v>
      </c>
    </row>
    <row r="121" spans="1:5" x14ac:dyDescent="0.6">
      <c r="A121" s="55">
        <v>119</v>
      </c>
      <c r="B121" s="55" t="str">
        <f t="shared" si="4"/>
        <v>119M</v>
      </c>
      <c r="C121" s="65">
        <f t="shared" si="5"/>
        <v>0.04</v>
      </c>
      <c r="D121" s="66">
        <f t="shared" si="6"/>
        <v>6.9780000000000217E-2</v>
      </c>
      <c r="E121" s="67">
        <f t="shared" si="7"/>
        <v>6.950000000000002E-2</v>
      </c>
    </row>
    <row r="122" spans="1:5" x14ac:dyDescent="0.6">
      <c r="A122" s="55">
        <v>120</v>
      </c>
      <c r="B122" s="55" t="str">
        <f t="shared" si="4"/>
        <v>120M</v>
      </c>
      <c r="C122" s="65">
        <f t="shared" si="5"/>
        <v>0.04</v>
      </c>
      <c r="D122" s="66">
        <f t="shared" si="6"/>
        <v>6.9990000000000219E-2</v>
      </c>
      <c r="E122" s="67">
        <f t="shared" si="7"/>
        <v>6.975000000000002E-2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AC4C-7A07-475B-A110-6BE84A9F3CEC}">
  <dimension ref="A2:Q17"/>
  <sheetViews>
    <sheetView zoomScale="60" zoomScaleNormal="74" workbookViewId="0">
      <selection activeCell="D25" sqref="D25"/>
    </sheetView>
  </sheetViews>
  <sheetFormatPr baseColWidth="10" defaultRowHeight="23.5" x14ac:dyDescent="0.55000000000000004"/>
  <cols>
    <col min="1" max="1" width="10.90625" style="1"/>
    <col min="2" max="2" width="23.90625" style="1" bestFit="1" customWidth="1"/>
    <col min="3" max="3" width="46.6328125" style="1" bestFit="1" customWidth="1"/>
    <col min="4" max="4" width="19.54296875" style="1" bestFit="1" customWidth="1"/>
    <col min="5" max="5" width="27.26953125" style="1" bestFit="1" customWidth="1"/>
    <col min="6" max="6" width="29.453125" style="1" bestFit="1" customWidth="1"/>
    <col min="7" max="7" width="43.36328125" style="1" bestFit="1" customWidth="1"/>
    <col min="8" max="8" width="37.7265625" style="1" bestFit="1" customWidth="1"/>
    <col min="9" max="9" width="24.453125" style="1" bestFit="1" customWidth="1"/>
    <col min="10" max="10" width="32.7265625" style="1" bestFit="1" customWidth="1"/>
    <col min="11" max="11" width="24.26953125" style="1" bestFit="1" customWidth="1"/>
    <col min="12" max="12" width="40.7265625" style="1" bestFit="1" customWidth="1"/>
    <col min="13" max="13" width="43.36328125" style="1" bestFit="1" customWidth="1"/>
    <col min="14" max="16384" width="10.90625" style="1"/>
  </cols>
  <sheetData>
    <row r="2" spans="1:17" x14ac:dyDescent="0.55000000000000004">
      <c r="B2" s="2"/>
      <c r="C2" s="2"/>
      <c r="D2" s="2"/>
      <c r="E2" s="2"/>
      <c r="F2" s="2"/>
      <c r="G2" s="2"/>
      <c r="H2" s="2"/>
    </row>
    <row r="3" spans="1:17" x14ac:dyDescent="0.55000000000000004">
      <c r="B3" s="2"/>
      <c r="C3" s="2" t="s">
        <v>13</v>
      </c>
      <c r="D3" s="3">
        <v>5</v>
      </c>
      <c r="E3" s="2" t="s">
        <v>14</v>
      </c>
      <c r="F3" s="2"/>
      <c r="G3" s="2"/>
      <c r="H3" s="2"/>
    </row>
    <row r="4" spans="1:17" x14ac:dyDescent="0.55000000000000004">
      <c r="B4" s="2"/>
      <c r="C4" s="2" t="s">
        <v>15</v>
      </c>
      <c r="D4" s="4">
        <v>0.05</v>
      </c>
      <c r="E4" s="2"/>
      <c r="F4" s="2"/>
      <c r="G4" s="2"/>
      <c r="H4" s="2"/>
      <c r="J4" s="5" t="s">
        <v>16</v>
      </c>
      <c r="K4" s="6">
        <f>SUM(M13:M17)</f>
        <v>1044.5182233101618</v>
      </c>
    </row>
    <row r="5" spans="1:17" x14ac:dyDescent="0.55000000000000004">
      <c r="B5" s="2"/>
      <c r="C5" s="2" t="s">
        <v>17</v>
      </c>
      <c r="D5" s="3">
        <v>1000</v>
      </c>
      <c r="E5" s="2"/>
      <c r="F5" s="2"/>
      <c r="G5" s="2"/>
      <c r="H5" s="2"/>
    </row>
    <row r="6" spans="1:17" x14ac:dyDescent="0.55000000000000004">
      <c r="B6" s="2"/>
      <c r="C6" s="2" t="s">
        <v>18</v>
      </c>
      <c r="D6" s="3" t="s">
        <v>11</v>
      </c>
      <c r="E6" s="2"/>
      <c r="F6" s="2"/>
      <c r="G6" s="2"/>
      <c r="H6" s="2"/>
    </row>
    <row r="7" spans="1:17" x14ac:dyDescent="0.55000000000000004">
      <c r="B7" s="2"/>
      <c r="C7" s="2" t="s">
        <v>0</v>
      </c>
      <c r="D7" s="1" t="s">
        <v>19</v>
      </c>
      <c r="E7" s="2"/>
      <c r="F7" s="2"/>
      <c r="G7" s="2"/>
      <c r="H7" s="2"/>
    </row>
    <row r="8" spans="1:17" x14ac:dyDescent="0.55000000000000004">
      <c r="B8" s="2"/>
      <c r="C8" s="2" t="s">
        <v>20</v>
      </c>
      <c r="D8" s="2" t="s">
        <v>21</v>
      </c>
      <c r="E8" s="2" t="s">
        <v>22</v>
      </c>
      <c r="F8" s="2"/>
      <c r="G8" s="2"/>
      <c r="H8" s="2"/>
      <c r="K8" s="7"/>
    </row>
    <row r="9" spans="1:17" x14ac:dyDescent="0.55000000000000004">
      <c r="B9" s="2"/>
      <c r="C9" s="2"/>
      <c r="D9" s="2"/>
      <c r="E9" s="2"/>
      <c r="F9" s="2"/>
      <c r="G9" s="2"/>
      <c r="H9" s="2"/>
    </row>
    <row r="11" spans="1:17" x14ac:dyDescent="0.55000000000000004">
      <c r="A11" s="8"/>
      <c r="B11" s="8"/>
      <c r="C11" s="9" t="s">
        <v>23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 x14ac:dyDescent="0.55000000000000004">
      <c r="A12" s="9"/>
      <c r="B12" s="9" t="s">
        <v>24</v>
      </c>
      <c r="C12" s="9" t="s">
        <v>25</v>
      </c>
      <c r="D12" s="9" t="s">
        <v>26</v>
      </c>
      <c r="E12" s="9" t="s">
        <v>27</v>
      </c>
      <c r="F12" s="9" t="s">
        <v>28</v>
      </c>
      <c r="G12" s="9" t="s">
        <v>29</v>
      </c>
      <c r="H12" s="9" t="s">
        <v>30</v>
      </c>
      <c r="I12" s="9" t="s">
        <v>31</v>
      </c>
      <c r="J12" s="9" t="s">
        <v>32</v>
      </c>
      <c r="K12" s="9" t="s">
        <v>33</v>
      </c>
      <c r="L12" s="9" t="s">
        <v>34</v>
      </c>
      <c r="M12" s="9" t="s">
        <v>35</v>
      </c>
      <c r="N12" s="9"/>
      <c r="O12" s="9"/>
      <c r="P12" s="9"/>
      <c r="Q12" s="9"/>
    </row>
    <row r="13" spans="1:17" x14ac:dyDescent="0.55000000000000004">
      <c r="A13" s="8"/>
      <c r="B13" s="8">
        <v>1</v>
      </c>
      <c r="C13" s="8" t="s">
        <v>36</v>
      </c>
      <c r="D13" s="8">
        <f>$D$5</f>
        <v>1000</v>
      </c>
      <c r="E13" s="10">
        <f>$D$4</f>
        <v>0.05</v>
      </c>
      <c r="F13" s="10">
        <f>'YIELD CURVE'!$C$3</f>
        <v>0.04</v>
      </c>
      <c r="G13" s="8">
        <f>IF($D$6="Yearly",360,IF($D$6="Monthly",30,IF($D$6="Quarterly",90,180)))</f>
        <v>360</v>
      </c>
      <c r="H13" s="8">
        <v>360</v>
      </c>
      <c r="I13" s="11">
        <f ca="1">TODAY()</f>
        <v>46126</v>
      </c>
      <c r="J13" s="11">
        <f ca="1">I13+G13</f>
        <v>46486</v>
      </c>
      <c r="K13" s="12">
        <f>D13*E13*G13/H13</f>
        <v>50</v>
      </c>
      <c r="L13" s="8">
        <f>1/(1+F13)^B13</f>
        <v>0.96153846153846145</v>
      </c>
      <c r="M13" s="12">
        <f>K13*L13</f>
        <v>48.076923076923073</v>
      </c>
      <c r="N13" s="8"/>
      <c r="O13" s="8"/>
      <c r="P13" s="8"/>
      <c r="Q13" s="8"/>
    </row>
    <row r="14" spans="1:17" x14ac:dyDescent="0.55000000000000004">
      <c r="A14" s="8"/>
      <c r="B14" s="8">
        <v>2</v>
      </c>
      <c r="C14" s="8" t="s">
        <v>36</v>
      </c>
      <c r="D14" s="8">
        <f t="shared" ref="D14:D17" si="0">$D$5</f>
        <v>1000</v>
      </c>
      <c r="E14" s="10">
        <f t="shared" ref="E14:E17" si="1">$D$4</f>
        <v>0.05</v>
      </c>
      <c r="F14" s="10">
        <f>'YIELD CURVE'!$C$3</f>
        <v>0.04</v>
      </c>
      <c r="G14" s="8">
        <f t="shared" ref="G14:G17" si="2">IF($D$6="Yearly",360,IF($D$6="Monthly",30,IF($D$6="Quarterly",90,180)))</f>
        <v>360</v>
      </c>
      <c r="H14" s="8">
        <v>360</v>
      </c>
      <c r="I14" s="11">
        <f ca="1">J13</f>
        <v>46486</v>
      </c>
      <c r="J14" s="11">
        <f t="shared" ref="J14:J17" ca="1" si="3">I14+G14</f>
        <v>46846</v>
      </c>
      <c r="K14" s="12">
        <f t="shared" ref="K14:K16" si="4">D14*E14*G14/H14</f>
        <v>50</v>
      </c>
      <c r="L14" s="8">
        <f>1/(1+F14)^B14</f>
        <v>0.92455621301775137</v>
      </c>
      <c r="M14" s="12">
        <f t="shared" ref="M14:M17" si="5">K14*L14</f>
        <v>46.227810650887569</v>
      </c>
      <c r="N14" s="8"/>
      <c r="O14" s="8"/>
      <c r="P14" s="8"/>
      <c r="Q14" s="8"/>
    </row>
    <row r="15" spans="1:17" x14ac:dyDescent="0.55000000000000004">
      <c r="A15" s="8"/>
      <c r="B15" s="8">
        <v>3</v>
      </c>
      <c r="C15" s="8" t="s">
        <v>36</v>
      </c>
      <c r="D15" s="8">
        <f t="shared" si="0"/>
        <v>1000</v>
      </c>
      <c r="E15" s="10">
        <f t="shared" si="1"/>
        <v>0.05</v>
      </c>
      <c r="F15" s="10">
        <f>'YIELD CURVE'!$C$3</f>
        <v>0.04</v>
      </c>
      <c r="G15" s="8">
        <f t="shared" si="2"/>
        <v>360</v>
      </c>
      <c r="H15" s="8">
        <v>360</v>
      </c>
      <c r="I15" s="11">
        <f t="shared" ref="I15:I17" ca="1" si="6">J14</f>
        <v>46846</v>
      </c>
      <c r="J15" s="11">
        <f t="shared" ca="1" si="3"/>
        <v>47206</v>
      </c>
      <c r="K15" s="12">
        <f t="shared" si="4"/>
        <v>50</v>
      </c>
      <c r="L15" s="8">
        <f t="shared" ref="L15:L17" si="7">1/(1+F15)^B15</f>
        <v>0.88899635867091487</v>
      </c>
      <c r="M15" s="12">
        <f t="shared" si="5"/>
        <v>44.449817933545745</v>
      </c>
      <c r="N15" s="8"/>
      <c r="O15" s="8"/>
      <c r="P15" s="8"/>
      <c r="Q15" s="8"/>
    </row>
    <row r="16" spans="1:17" x14ac:dyDescent="0.55000000000000004">
      <c r="A16" s="8"/>
      <c r="B16" s="8">
        <v>4</v>
      </c>
      <c r="C16" s="8" t="s">
        <v>36</v>
      </c>
      <c r="D16" s="8">
        <f t="shared" si="0"/>
        <v>1000</v>
      </c>
      <c r="E16" s="10">
        <f t="shared" si="1"/>
        <v>0.05</v>
      </c>
      <c r="F16" s="10">
        <f>'YIELD CURVE'!$C$3</f>
        <v>0.04</v>
      </c>
      <c r="G16" s="8">
        <f t="shared" si="2"/>
        <v>360</v>
      </c>
      <c r="H16" s="8">
        <v>360</v>
      </c>
      <c r="I16" s="11">
        <f t="shared" ca="1" si="6"/>
        <v>47206</v>
      </c>
      <c r="J16" s="11">
        <f t="shared" ca="1" si="3"/>
        <v>47566</v>
      </c>
      <c r="K16" s="12">
        <f t="shared" si="4"/>
        <v>50</v>
      </c>
      <c r="L16" s="8">
        <f t="shared" si="7"/>
        <v>0.85480419102972571</v>
      </c>
      <c r="M16" s="12">
        <f t="shared" si="5"/>
        <v>42.740209551486288</v>
      </c>
      <c r="N16" s="8"/>
      <c r="O16" s="8"/>
      <c r="P16" s="8"/>
      <c r="Q16" s="8"/>
    </row>
    <row r="17" spans="1:17" x14ac:dyDescent="0.55000000000000004">
      <c r="A17" s="8"/>
      <c r="B17" s="8">
        <v>5</v>
      </c>
      <c r="C17" s="8" t="s">
        <v>36</v>
      </c>
      <c r="D17" s="8">
        <f t="shared" si="0"/>
        <v>1000</v>
      </c>
      <c r="E17" s="10">
        <f t="shared" si="1"/>
        <v>0.05</v>
      </c>
      <c r="F17" s="10">
        <f>'YIELD CURVE'!$C$3</f>
        <v>0.04</v>
      </c>
      <c r="G17" s="8">
        <f t="shared" si="2"/>
        <v>360</v>
      </c>
      <c r="H17" s="8">
        <v>360</v>
      </c>
      <c r="I17" s="11">
        <f t="shared" ca="1" si="6"/>
        <v>47566</v>
      </c>
      <c r="J17" s="11">
        <f t="shared" ca="1" si="3"/>
        <v>47926</v>
      </c>
      <c r="K17" s="12">
        <f>D17+D17*E17*G17/H17</f>
        <v>1050</v>
      </c>
      <c r="L17" s="8">
        <f t="shared" si="7"/>
        <v>0.82192710675935154</v>
      </c>
      <c r="M17" s="12">
        <f t="shared" si="5"/>
        <v>863.02346209731911</v>
      </c>
      <c r="N17" s="8"/>
      <c r="O17" s="8"/>
      <c r="P17" s="8"/>
      <c r="Q17" s="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AF8A28-BDE7-43AD-87CF-E76C9D526AD3}">
          <x14:formula1>
            <xm:f>'YIELD CURVE'!$F$2:$F$5</xm:f>
          </x14:formula1>
          <xm:sqref>D6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18A2-FD9A-4D87-87DD-24D3D1BCC381}">
  <dimension ref="B1:M23"/>
  <sheetViews>
    <sheetView topLeftCell="C1" zoomScale="57" zoomScaleNormal="57" workbookViewId="0">
      <selection activeCell="E22" sqref="E22"/>
    </sheetView>
  </sheetViews>
  <sheetFormatPr baseColWidth="10" defaultRowHeight="23.5" x14ac:dyDescent="0.55000000000000004"/>
  <cols>
    <col min="1" max="1" width="10.90625" style="1"/>
    <col min="2" max="2" width="25" style="1" bestFit="1" customWidth="1"/>
    <col min="3" max="3" width="56.1796875" style="1" customWidth="1"/>
    <col min="4" max="4" width="46.26953125" style="1" customWidth="1"/>
    <col min="5" max="5" width="59.7265625" style="1" bestFit="1" customWidth="1"/>
    <col min="6" max="7" width="30.54296875" style="1" bestFit="1" customWidth="1"/>
    <col min="8" max="8" width="35" style="1" customWidth="1"/>
    <col min="9" max="9" width="30" style="1" customWidth="1"/>
    <col min="10" max="10" width="33.26953125" style="1" customWidth="1"/>
    <col min="11" max="11" width="37.54296875" style="1" customWidth="1"/>
    <col min="12" max="12" width="28.81640625" style="1" bestFit="1" customWidth="1"/>
    <col min="13" max="13" width="45.26953125" style="1" bestFit="1" customWidth="1"/>
    <col min="14" max="16384" width="10.90625" style="1"/>
  </cols>
  <sheetData>
    <row r="1" spans="2:13" x14ac:dyDescent="0.55000000000000004">
      <c r="B1" s="2"/>
      <c r="C1" s="2"/>
      <c r="D1" s="2"/>
      <c r="E1" s="2"/>
      <c r="F1" s="2"/>
      <c r="G1" s="2"/>
      <c r="H1" s="2"/>
    </row>
    <row r="2" spans="2:13" x14ac:dyDescent="0.55000000000000004">
      <c r="B2" s="2"/>
      <c r="C2" s="2" t="s">
        <v>13</v>
      </c>
      <c r="D2" s="3">
        <v>5</v>
      </c>
      <c r="E2" s="2" t="s">
        <v>14</v>
      </c>
      <c r="F2" s="2"/>
      <c r="G2" s="2"/>
      <c r="H2" s="2"/>
    </row>
    <row r="3" spans="2:13" x14ac:dyDescent="0.55000000000000004">
      <c r="B3" s="2"/>
      <c r="C3" s="2" t="s">
        <v>15</v>
      </c>
      <c r="D3" s="4">
        <v>0.05</v>
      </c>
      <c r="E3" s="2"/>
      <c r="F3" s="2"/>
      <c r="G3" s="2"/>
      <c r="H3" s="2"/>
      <c r="J3" s="5" t="s">
        <v>16</v>
      </c>
      <c r="K3" s="6">
        <f>SUM(M12:M16)</f>
        <v>1049.9999728594814</v>
      </c>
    </row>
    <row r="4" spans="2:13" x14ac:dyDescent="0.55000000000000004">
      <c r="B4" s="2"/>
      <c r="C4" s="2" t="s">
        <v>17</v>
      </c>
      <c r="D4" s="3">
        <v>1000</v>
      </c>
      <c r="E4" s="2"/>
      <c r="F4" s="2"/>
      <c r="G4" s="2"/>
      <c r="H4" s="2"/>
    </row>
    <row r="5" spans="2:13" x14ac:dyDescent="0.55000000000000004">
      <c r="B5" s="2"/>
      <c r="C5" s="2" t="s">
        <v>18</v>
      </c>
      <c r="D5" s="3" t="s">
        <v>11</v>
      </c>
      <c r="E5" s="2"/>
      <c r="F5" s="2"/>
      <c r="G5" s="2"/>
      <c r="H5" s="2"/>
      <c r="J5" s="13" t="s">
        <v>37</v>
      </c>
      <c r="K5" s="14">
        <v>1050</v>
      </c>
    </row>
    <row r="6" spans="2:13" x14ac:dyDescent="0.55000000000000004">
      <c r="B6" s="2"/>
      <c r="C6" s="2" t="s">
        <v>28</v>
      </c>
      <c r="D6" s="15">
        <v>3.8806287149898498E-2</v>
      </c>
      <c r="E6" s="2" t="s">
        <v>38</v>
      </c>
      <c r="F6" s="2"/>
      <c r="G6" s="2"/>
      <c r="H6" s="2"/>
    </row>
    <row r="7" spans="2:13" x14ac:dyDescent="0.55000000000000004">
      <c r="B7" s="2"/>
      <c r="C7" s="2" t="s">
        <v>20</v>
      </c>
      <c r="D7" s="2" t="s">
        <v>21</v>
      </c>
      <c r="E7" s="2" t="s">
        <v>22</v>
      </c>
      <c r="F7" s="2"/>
      <c r="G7" s="2"/>
      <c r="H7" s="2"/>
    </row>
    <row r="8" spans="2:13" x14ac:dyDescent="0.55000000000000004">
      <c r="B8" s="2"/>
      <c r="C8" s="2"/>
      <c r="D8" s="2"/>
      <c r="E8" s="2"/>
      <c r="F8" s="2"/>
      <c r="G8" s="2"/>
      <c r="H8" s="2"/>
    </row>
    <row r="10" spans="2:13" s="8" customFormat="1" x14ac:dyDescent="0.55000000000000004">
      <c r="C10" s="9" t="s">
        <v>23</v>
      </c>
    </row>
    <row r="11" spans="2:13" s="9" customFormat="1" x14ac:dyDescent="0.55000000000000004">
      <c r="B11" s="9" t="s">
        <v>24</v>
      </c>
      <c r="C11" s="9" t="s">
        <v>25</v>
      </c>
      <c r="D11" s="9" t="s">
        <v>26</v>
      </c>
      <c r="E11" s="9" t="s">
        <v>27</v>
      </c>
      <c r="F11" s="9" t="s">
        <v>28</v>
      </c>
      <c r="G11" s="9" t="s">
        <v>29</v>
      </c>
      <c r="H11" s="9" t="s">
        <v>30</v>
      </c>
      <c r="I11" s="9" t="s">
        <v>31</v>
      </c>
      <c r="J11" s="9" t="s">
        <v>32</v>
      </c>
      <c r="K11" s="9" t="s">
        <v>33</v>
      </c>
      <c r="L11" s="9" t="s">
        <v>34</v>
      </c>
      <c r="M11" s="9" t="s">
        <v>35</v>
      </c>
    </row>
    <row r="12" spans="2:13" s="8" customFormat="1" x14ac:dyDescent="0.55000000000000004">
      <c r="B12" s="8">
        <v>1</v>
      </c>
      <c r="C12" s="8" t="s">
        <v>36</v>
      </c>
      <c r="D12" s="8">
        <f>$D$4</f>
        <v>1000</v>
      </c>
      <c r="E12" s="10">
        <f>$D$3</f>
        <v>0.05</v>
      </c>
      <c r="F12" s="16">
        <f>$D$6</f>
        <v>3.8806287149898498E-2</v>
      </c>
      <c r="G12" s="8">
        <f>IF($D$5="Yearly",360,IF($D$5="Monthly",30,IF($D$5="Quarterly",90,180)))</f>
        <v>360</v>
      </c>
      <c r="H12" s="8">
        <v>360</v>
      </c>
      <c r="I12" s="11">
        <f ca="1">TODAY()</f>
        <v>46126</v>
      </c>
      <c r="J12" s="11">
        <f ca="1">I12+G12</f>
        <v>46486</v>
      </c>
      <c r="K12" s="12">
        <f>D12*E12*G12/H12</f>
        <v>50</v>
      </c>
      <c r="L12" s="8">
        <f>1/(1+F12)^B12</f>
        <v>0.96264338440194797</v>
      </c>
      <c r="M12" s="12">
        <f>K12*L12</f>
        <v>48.132169220097396</v>
      </c>
    </row>
    <row r="13" spans="2:13" s="8" customFormat="1" x14ac:dyDescent="0.55000000000000004">
      <c r="B13" s="8">
        <v>2</v>
      </c>
      <c r="C13" s="8" t="s">
        <v>36</v>
      </c>
      <c r="D13" s="8">
        <f t="shared" ref="D13:D16" si="0">$D$4</f>
        <v>1000</v>
      </c>
      <c r="E13" s="10">
        <f t="shared" ref="E13:E16" si="1">$D$3</f>
        <v>0.05</v>
      </c>
      <c r="F13" s="16">
        <f t="shared" ref="F13:F16" si="2">$D$6</f>
        <v>3.8806287149898498E-2</v>
      </c>
      <c r="G13" s="8">
        <f t="shared" ref="G13:G16" si="3">IF($D$5="Yearly",360,IF($D$5="Monthly",30,IF($D$5="Quarterly",90,180)))</f>
        <v>360</v>
      </c>
      <c r="H13" s="8">
        <v>360</v>
      </c>
      <c r="I13" s="11">
        <f ca="1">J12</f>
        <v>46486</v>
      </c>
      <c r="J13" s="11">
        <f t="shared" ref="J13:J16" ca="1" si="4">I13+G13</f>
        <v>46846</v>
      </c>
      <c r="K13" s="12">
        <f t="shared" ref="K13:K15" si="5">D13*E13*G13/H13</f>
        <v>50</v>
      </c>
      <c r="L13" s="8">
        <f t="shared" ref="L13:L16" si="6">1/(1+F13)^B13</f>
        <v>0.92668228553283649</v>
      </c>
      <c r="M13" s="12">
        <f t="shared" ref="M13:M16" si="7">K13*L13</f>
        <v>46.334114276641827</v>
      </c>
    </row>
    <row r="14" spans="2:13" s="8" customFormat="1" x14ac:dyDescent="0.55000000000000004">
      <c r="B14" s="8">
        <v>3</v>
      </c>
      <c r="C14" s="8" t="s">
        <v>36</v>
      </c>
      <c r="D14" s="8">
        <f t="shared" si="0"/>
        <v>1000</v>
      </c>
      <c r="E14" s="10">
        <f t="shared" si="1"/>
        <v>0.05</v>
      </c>
      <c r="F14" s="16">
        <f t="shared" si="2"/>
        <v>3.8806287149898498E-2</v>
      </c>
      <c r="G14" s="8">
        <f t="shared" si="3"/>
        <v>360</v>
      </c>
      <c r="H14" s="8">
        <v>360</v>
      </c>
      <c r="I14" s="11">
        <f t="shared" ref="I14:I16" ca="1" si="8">J13</f>
        <v>46846</v>
      </c>
      <c r="J14" s="11">
        <f t="shared" ca="1" si="4"/>
        <v>47206</v>
      </c>
      <c r="K14" s="12">
        <f t="shared" si="5"/>
        <v>50</v>
      </c>
      <c r="L14" s="8">
        <f t="shared" si="6"/>
        <v>0.8920645716106621</v>
      </c>
      <c r="M14" s="12">
        <f t="shared" si="7"/>
        <v>44.603228580533106</v>
      </c>
    </row>
    <row r="15" spans="2:13" s="8" customFormat="1" x14ac:dyDescent="0.55000000000000004">
      <c r="B15" s="8">
        <v>4</v>
      </c>
      <c r="C15" s="8" t="s">
        <v>36</v>
      </c>
      <c r="D15" s="8">
        <f t="shared" si="0"/>
        <v>1000</v>
      </c>
      <c r="E15" s="10">
        <f t="shared" si="1"/>
        <v>0.05</v>
      </c>
      <c r="F15" s="16">
        <f t="shared" si="2"/>
        <v>3.8806287149898498E-2</v>
      </c>
      <c r="G15" s="8">
        <f t="shared" si="3"/>
        <v>360</v>
      </c>
      <c r="H15" s="8">
        <v>360</v>
      </c>
      <c r="I15" s="11">
        <f t="shared" ca="1" si="8"/>
        <v>47206</v>
      </c>
      <c r="J15" s="11">
        <f t="shared" ca="1" si="4"/>
        <v>47566</v>
      </c>
      <c r="K15" s="12">
        <f t="shared" si="5"/>
        <v>50</v>
      </c>
      <c r="L15" s="8">
        <f t="shared" si="6"/>
        <v>0.8587400583203616</v>
      </c>
      <c r="M15" s="12">
        <f t="shared" si="7"/>
        <v>42.937002916018081</v>
      </c>
    </row>
    <row r="16" spans="2:13" s="8" customFormat="1" x14ac:dyDescent="0.55000000000000004">
      <c r="B16" s="8">
        <v>5</v>
      </c>
      <c r="C16" s="8" t="s">
        <v>36</v>
      </c>
      <c r="D16" s="8">
        <f t="shared" si="0"/>
        <v>1000</v>
      </c>
      <c r="E16" s="10">
        <f t="shared" si="1"/>
        <v>0.05</v>
      </c>
      <c r="F16" s="16">
        <f t="shared" si="2"/>
        <v>3.8806287149898498E-2</v>
      </c>
      <c r="G16" s="8">
        <f t="shared" si="3"/>
        <v>360</v>
      </c>
      <c r="H16" s="8">
        <v>360</v>
      </c>
      <c r="I16" s="11">
        <f t="shared" ca="1" si="8"/>
        <v>47566</v>
      </c>
      <c r="J16" s="11">
        <f t="shared" ca="1" si="4"/>
        <v>47926</v>
      </c>
      <c r="K16" s="12">
        <f>D16+D16*E16*G16/H16</f>
        <v>1050</v>
      </c>
      <c r="L16" s="8">
        <f t="shared" si="6"/>
        <v>0.82666043606303907</v>
      </c>
      <c r="M16" s="12">
        <f t="shared" si="7"/>
        <v>867.99345786619108</v>
      </c>
    </row>
    <row r="21" spans="4:5" x14ac:dyDescent="0.55000000000000004">
      <c r="E21" s="1" t="s">
        <v>67</v>
      </c>
    </row>
    <row r="22" spans="4:5" x14ac:dyDescent="0.55000000000000004">
      <c r="D22" s="68">
        <f>RATE(5,-K12,-K5,D4)</f>
        <v>-5.8320369095800587E-2</v>
      </c>
    </row>
    <row r="23" spans="4:5" x14ac:dyDescent="0.55000000000000004">
      <c r="D23" s="68">
        <f>RATE(5,-50,-1050,1000,0,0.05)</f>
        <v>-5.8320369096539107E-2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48FA56-1D50-4F3E-A0CA-CFAA6F9CE7ED}">
          <x14:formula1>
            <xm:f>'YIELD CURVE'!$F$2:$F$5</xm:f>
          </x14:formula1>
          <xm:sqref>D5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C334-5B4B-440E-9B8F-E871A0DBCE51}">
  <dimension ref="E8:N28"/>
  <sheetViews>
    <sheetView zoomScale="45" workbookViewId="0">
      <selection activeCell="T9" sqref="T9"/>
    </sheetView>
  </sheetViews>
  <sheetFormatPr baseColWidth="10" defaultRowHeight="14.5" x14ac:dyDescent="0.35"/>
  <cols>
    <col min="8" max="8" width="16.90625" bestFit="1" customWidth="1"/>
    <col min="9" max="9" width="13" bestFit="1" customWidth="1"/>
    <col min="12" max="12" width="13" bestFit="1" customWidth="1"/>
  </cols>
  <sheetData>
    <row r="8" spans="5:14" x14ac:dyDescent="0.35">
      <c r="F8" s="17"/>
      <c r="G8" s="17"/>
      <c r="H8" s="17"/>
      <c r="I8" s="17"/>
      <c r="J8" s="17"/>
      <c r="K8" s="17"/>
      <c r="L8" s="17"/>
      <c r="M8" s="17"/>
    </row>
    <row r="9" spans="5:14" x14ac:dyDescent="0.35">
      <c r="F9" s="17"/>
      <c r="G9" s="17"/>
      <c r="H9" s="17"/>
      <c r="I9" s="17"/>
      <c r="J9" s="17"/>
      <c r="K9" s="17"/>
      <c r="L9" s="17"/>
      <c r="M9" s="17"/>
    </row>
    <row r="10" spans="5:14" x14ac:dyDescent="0.35">
      <c r="F10" s="17"/>
      <c r="G10" s="17"/>
      <c r="H10" s="17"/>
      <c r="I10" s="17"/>
      <c r="J10" s="17"/>
      <c r="K10" s="17"/>
      <c r="L10" s="17"/>
      <c r="M10" s="17"/>
    </row>
    <row r="11" spans="5:14" x14ac:dyDescent="0.35">
      <c r="F11" s="17"/>
      <c r="G11" s="17"/>
      <c r="H11" s="17"/>
      <c r="I11" s="17"/>
      <c r="J11" s="17"/>
      <c r="K11" s="17"/>
      <c r="L11" s="17"/>
      <c r="M11" s="17"/>
    </row>
    <row r="12" spans="5:14" ht="31" x14ac:dyDescent="0.7">
      <c r="E12" s="18"/>
      <c r="F12" s="19"/>
      <c r="G12" s="19"/>
      <c r="H12" s="19"/>
      <c r="I12" s="19"/>
      <c r="J12" s="19"/>
      <c r="K12" s="19"/>
      <c r="L12" s="19"/>
      <c r="M12" s="19"/>
      <c r="N12" s="18"/>
    </row>
    <row r="13" spans="5:14" ht="31" x14ac:dyDescent="0.7">
      <c r="E13" s="18"/>
      <c r="F13" s="19"/>
      <c r="G13" s="19"/>
      <c r="H13" s="19"/>
      <c r="I13" s="19"/>
      <c r="J13" s="19"/>
      <c r="K13" s="19"/>
      <c r="L13" s="19"/>
      <c r="M13" s="19"/>
      <c r="N13" s="18"/>
    </row>
    <row r="14" spans="5:14" ht="31" x14ac:dyDescent="0.7">
      <c r="E14" s="18"/>
      <c r="F14" s="19"/>
      <c r="G14" s="19"/>
      <c r="H14" s="19" t="s">
        <v>39</v>
      </c>
      <c r="I14" s="20">
        <v>180</v>
      </c>
      <c r="J14" s="19"/>
      <c r="K14" s="19"/>
      <c r="L14" s="19"/>
      <c r="M14" s="19"/>
      <c r="N14" s="18"/>
    </row>
    <row r="15" spans="5:14" ht="31" x14ac:dyDescent="0.7">
      <c r="E15" s="18"/>
      <c r="F15" s="19"/>
      <c r="G15" s="19"/>
      <c r="H15" s="19"/>
      <c r="I15" s="19"/>
      <c r="J15" s="19"/>
      <c r="K15" s="19"/>
      <c r="L15" s="19"/>
      <c r="M15" s="19"/>
      <c r="N15" s="18"/>
    </row>
    <row r="16" spans="5:14" ht="31" x14ac:dyDescent="0.7">
      <c r="E16" s="18"/>
      <c r="F16" s="19"/>
      <c r="G16" s="19"/>
      <c r="H16" s="19" t="s">
        <v>40</v>
      </c>
      <c r="I16" s="20">
        <v>360</v>
      </c>
      <c r="J16" s="19"/>
      <c r="K16" s="19"/>
      <c r="L16" s="19"/>
      <c r="M16" s="19"/>
      <c r="N16" s="18"/>
    </row>
    <row r="17" spans="5:14" ht="31" x14ac:dyDescent="0.7">
      <c r="E17" s="18"/>
      <c r="F17" s="19"/>
      <c r="G17" s="19"/>
      <c r="H17" s="19"/>
      <c r="I17" s="19"/>
      <c r="J17" s="19"/>
      <c r="K17" s="19" t="s">
        <v>41</v>
      </c>
      <c r="L17" s="21">
        <f>(((1+I20*(I14+I16)/360)/(1+I18*I16/360))-1)*(360/I14)</f>
        <v>4.5358649789029482E-2</v>
      </c>
      <c r="M17" s="19"/>
      <c r="N17" s="18"/>
    </row>
    <row r="18" spans="5:14" ht="31" x14ac:dyDescent="0.7">
      <c r="E18" s="18"/>
      <c r="F18" s="19"/>
      <c r="G18" s="19"/>
      <c r="H18" s="19" t="s">
        <v>42</v>
      </c>
      <c r="I18" s="21">
        <v>4.2799999999999998E-2</v>
      </c>
      <c r="J18" s="19"/>
      <c r="K18" s="19"/>
      <c r="L18" s="19"/>
      <c r="M18" s="19"/>
      <c r="N18" s="18"/>
    </row>
    <row r="19" spans="5:14" ht="31" x14ac:dyDescent="0.7">
      <c r="E19" s="18"/>
      <c r="F19" s="19"/>
      <c r="G19" s="19"/>
      <c r="H19" s="19"/>
      <c r="I19" s="19"/>
      <c r="J19" s="19"/>
      <c r="K19" s="19"/>
      <c r="L19" s="19"/>
      <c r="M19" s="19"/>
      <c r="N19" s="18"/>
    </row>
    <row r="20" spans="5:14" ht="31" x14ac:dyDescent="0.7">
      <c r="E20" s="18"/>
      <c r="F20" s="19"/>
      <c r="G20" s="19"/>
      <c r="H20" s="19" t="s">
        <v>43</v>
      </c>
      <c r="I20" s="21">
        <v>4.4299999999999999E-2</v>
      </c>
      <c r="J20" s="19"/>
      <c r="K20" s="19"/>
      <c r="L20" s="19"/>
      <c r="M20" s="19"/>
      <c r="N20" s="18"/>
    </row>
    <row r="21" spans="5:14" ht="31" x14ac:dyDescent="0.7">
      <c r="E21" s="18"/>
      <c r="F21" s="19"/>
      <c r="G21" s="19"/>
      <c r="H21" s="19"/>
      <c r="I21" s="19"/>
      <c r="J21" s="19"/>
      <c r="K21" s="19"/>
      <c r="L21" s="19"/>
      <c r="M21" s="19"/>
      <c r="N21" s="18"/>
    </row>
    <row r="22" spans="5:14" ht="31" x14ac:dyDescent="0.7">
      <c r="E22" s="18"/>
      <c r="F22" s="19"/>
      <c r="G22" s="19"/>
      <c r="H22" s="19"/>
      <c r="I22" s="19"/>
      <c r="J22" s="19"/>
      <c r="K22" s="19"/>
      <c r="L22" s="19"/>
      <c r="M22" s="19"/>
      <c r="N22" s="18"/>
    </row>
    <row r="23" spans="5:14" ht="31" x14ac:dyDescent="0.7">
      <c r="E23" s="18"/>
      <c r="F23" s="19"/>
      <c r="G23" s="19"/>
      <c r="H23" s="19"/>
      <c r="I23" s="19"/>
      <c r="J23" s="19"/>
      <c r="K23" s="19"/>
      <c r="L23" s="19"/>
      <c r="M23" s="19"/>
      <c r="N23" s="18"/>
    </row>
    <row r="24" spans="5:14" x14ac:dyDescent="0.35">
      <c r="F24" s="17"/>
      <c r="G24" s="17"/>
      <c r="H24" s="17"/>
      <c r="I24" s="17"/>
      <c r="J24" s="17"/>
      <c r="K24" s="17"/>
      <c r="L24" s="17"/>
      <c r="M24" s="17"/>
    </row>
    <row r="25" spans="5:14" x14ac:dyDescent="0.35">
      <c r="F25" s="17"/>
      <c r="G25" s="17"/>
      <c r="H25" s="17"/>
      <c r="I25" s="17"/>
      <c r="J25" s="17"/>
      <c r="K25" s="17"/>
      <c r="L25" s="17"/>
      <c r="M25" s="17"/>
    </row>
    <row r="26" spans="5:14" x14ac:dyDescent="0.35">
      <c r="F26" s="17"/>
      <c r="G26" s="17"/>
      <c r="H26" s="17"/>
      <c r="I26" s="17"/>
      <c r="J26" s="17"/>
      <c r="K26" s="17"/>
      <c r="L26" s="17"/>
      <c r="M26" s="17"/>
    </row>
    <row r="27" spans="5:14" x14ac:dyDescent="0.35">
      <c r="F27" s="17"/>
      <c r="G27" s="17"/>
      <c r="H27" s="17"/>
      <c r="I27" s="17"/>
      <c r="J27" s="17"/>
      <c r="K27" s="17"/>
      <c r="L27" s="17"/>
      <c r="M27" s="17"/>
    </row>
    <row r="28" spans="5:14" x14ac:dyDescent="0.35">
      <c r="F28" s="17"/>
      <c r="G28" s="17"/>
      <c r="H28" s="17"/>
      <c r="I28" s="17"/>
      <c r="J28" s="17"/>
      <c r="K28" s="17"/>
      <c r="L28" s="17"/>
      <c r="M28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F835-8F27-476C-BF12-4F7D0119C49F}">
  <dimension ref="A1:Y71"/>
  <sheetViews>
    <sheetView zoomScale="56" workbookViewId="0">
      <selection activeCell="G3" sqref="G3"/>
    </sheetView>
  </sheetViews>
  <sheetFormatPr baseColWidth="10" defaultRowHeight="14.5" x14ac:dyDescent="0.35"/>
  <cols>
    <col min="3" max="3" width="66.54296875" bestFit="1" customWidth="1"/>
    <col min="4" max="4" width="32" bestFit="1" customWidth="1"/>
    <col min="5" max="5" width="28.54296875" bestFit="1" customWidth="1"/>
    <col min="6" max="6" width="16.08984375" bestFit="1" customWidth="1"/>
    <col min="7" max="7" width="19.26953125" bestFit="1" customWidth="1"/>
    <col min="8" max="8" width="20.6328125" bestFit="1" customWidth="1"/>
    <col min="9" max="9" width="29.81640625" bestFit="1" customWidth="1"/>
    <col min="10" max="10" width="26" bestFit="1" customWidth="1"/>
    <col min="11" max="13" width="16.453125" bestFit="1" customWidth="1"/>
    <col min="14" max="14" width="28.1796875" bestFit="1" customWidth="1"/>
    <col min="15" max="15" width="28.453125" bestFit="1" customWidth="1"/>
    <col min="16" max="16" width="30.08984375" bestFit="1" customWidth="1"/>
    <col min="18" max="18" width="18.7265625" bestFit="1" customWidth="1"/>
    <col min="19" max="19" width="12.54296875" bestFit="1" customWidth="1"/>
    <col min="21" max="21" width="19.08984375" bestFit="1" customWidth="1"/>
    <col min="22" max="22" width="14.7265625" bestFit="1" customWidth="1"/>
  </cols>
  <sheetData>
    <row r="1" spans="1:25" ht="23.5" x14ac:dyDescent="0.55000000000000004">
      <c r="A1" s="1"/>
      <c r="B1" s="1"/>
      <c r="C1" s="1" t="s">
        <v>44</v>
      </c>
      <c r="D1" s="1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3.5" x14ac:dyDescent="0.55000000000000004">
      <c r="A2" s="1"/>
      <c r="B2" s="1"/>
      <c r="C2" s="1"/>
      <c r="D2" s="1"/>
      <c r="E2" s="8"/>
      <c r="F2" s="1"/>
      <c r="G2" s="1" t="s">
        <v>66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3.5" x14ac:dyDescent="0.55000000000000004">
      <c r="A3" s="1"/>
      <c r="B3" s="1"/>
      <c r="C3" s="1"/>
      <c r="D3" s="1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3.5" x14ac:dyDescent="0.55000000000000004">
      <c r="A4" s="1"/>
      <c r="B4" s="1"/>
      <c r="C4" s="5" t="s">
        <v>45</v>
      </c>
      <c r="D4" s="5" t="s">
        <v>46</v>
      </c>
      <c r="E4" s="38">
        <f ca="1">TODAY()</f>
        <v>46126</v>
      </c>
      <c r="F4" s="2"/>
      <c r="G4" s="2"/>
      <c r="H4" s="2"/>
      <c r="I4" s="2"/>
      <c r="J4" s="2"/>
      <c r="K4" s="2"/>
      <c r="L4" s="1"/>
      <c r="M4" s="39" t="s">
        <v>47</v>
      </c>
      <c r="N4" s="39" t="s">
        <v>46</v>
      </c>
      <c r="O4" s="40">
        <f ca="1">E4</f>
        <v>46126</v>
      </c>
      <c r="P4" s="41"/>
      <c r="Q4" s="41"/>
      <c r="R4" s="41"/>
      <c r="S4" s="41"/>
      <c r="T4" s="1"/>
      <c r="U4" s="1"/>
      <c r="V4" s="1"/>
      <c r="W4" s="1"/>
      <c r="X4" s="1"/>
      <c r="Y4" s="1"/>
    </row>
    <row r="5" spans="1:25" ht="23.5" x14ac:dyDescent="0.55000000000000004">
      <c r="A5" s="1"/>
      <c r="B5" s="1"/>
      <c r="C5" s="2"/>
      <c r="D5" s="2" t="s">
        <v>13</v>
      </c>
      <c r="E5" s="42">
        <v>5</v>
      </c>
      <c r="F5" s="2" t="s">
        <v>14</v>
      </c>
      <c r="G5" s="2"/>
      <c r="H5" s="2"/>
      <c r="I5" s="2"/>
      <c r="J5" s="2"/>
      <c r="K5" s="2"/>
      <c r="L5" s="1"/>
      <c r="M5" s="41"/>
      <c r="N5" s="41" t="s">
        <v>13</v>
      </c>
      <c r="O5" s="28">
        <f>E5</f>
        <v>5</v>
      </c>
      <c r="P5" s="41" t="s">
        <v>14</v>
      </c>
      <c r="Q5" s="41"/>
      <c r="R5" s="41"/>
      <c r="S5" s="41"/>
      <c r="T5" s="1"/>
      <c r="U5" s="1"/>
      <c r="V5" s="1"/>
      <c r="W5" s="1"/>
      <c r="X5" s="1"/>
      <c r="Y5" s="1"/>
    </row>
    <row r="6" spans="1:25" ht="23.5" x14ac:dyDescent="0.55000000000000004">
      <c r="A6" s="1"/>
      <c r="B6" s="1"/>
      <c r="C6" s="2"/>
      <c r="D6" s="43" t="s">
        <v>48</v>
      </c>
      <c r="E6" s="44">
        <v>4.6749162928420601E-2</v>
      </c>
      <c r="F6" s="2"/>
      <c r="G6" s="2"/>
      <c r="H6" s="2"/>
      <c r="I6" s="2"/>
      <c r="J6" s="2"/>
      <c r="K6" s="2"/>
      <c r="L6" s="1"/>
      <c r="M6" s="41"/>
      <c r="N6" s="41" t="s">
        <v>49</v>
      </c>
      <c r="O6" s="32" t="s">
        <v>12</v>
      </c>
      <c r="P6" s="41"/>
      <c r="Q6" s="41"/>
      <c r="R6" s="41"/>
      <c r="S6" s="41"/>
      <c r="T6" s="1"/>
      <c r="U6" s="1"/>
      <c r="V6" s="1"/>
      <c r="W6" s="1"/>
      <c r="X6" s="1"/>
      <c r="Y6" s="1"/>
    </row>
    <row r="7" spans="1:25" ht="23.5" x14ac:dyDescent="0.55000000000000004">
      <c r="A7" s="1"/>
      <c r="B7" s="1"/>
      <c r="C7" s="2"/>
      <c r="D7" s="2" t="s">
        <v>17</v>
      </c>
      <c r="E7" s="45">
        <v>1000</v>
      </c>
      <c r="F7" s="2"/>
      <c r="G7" s="2"/>
      <c r="H7" s="2"/>
      <c r="I7" s="2"/>
      <c r="J7" s="2"/>
      <c r="K7" s="2"/>
      <c r="L7" s="1"/>
      <c r="M7" s="41"/>
      <c r="N7" s="41" t="s">
        <v>17</v>
      </c>
      <c r="O7" s="29">
        <f>E7</f>
        <v>1000</v>
      </c>
      <c r="P7" s="41"/>
      <c r="Q7" s="41"/>
      <c r="R7" s="41"/>
      <c r="S7" s="41"/>
      <c r="T7" s="1"/>
      <c r="U7" s="1"/>
      <c r="V7" s="1"/>
      <c r="W7" s="1"/>
      <c r="X7" s="1"/>
      <c r="Y7" s="1"/>
    </row>
    <row r="8" spans="1:25" ht="23.5" x14ac:dyDescent="0.55000000000000004">
      <c r="A8" s="1"/>
      <c r="B8" s="1"/>
      <c r="C8" s="2"/>
      <c r="D8" s="2" t="s">
        <v>18</v>
      </c>
      <c r="E8" s="42" t="s">
        <v>11</v>
      </c>
      <c r="F8" s="2"/>
      <c r="G8" s="2"/>
      <c r="H8" s="2"/>
      <c r="I8" s="2"/>
      <c r="J8" s="2"/>
      <c r="K8" s="2"/>
      <c r="L8" s="1"/>
      <c r="M8" s="41"/>
      <c r="N8" s="41" t="s">
        <v>18</v>
      </c>
      <c r="O8" s="28" t="s">
        <v>11</v>
      </c>
      <c r="P8" s="41"/>
      <c r="Q8" s="41"/>
      <c r="R8" s="41"/>
      <c r="S8" s="41"/>
      <c r="T8" s="1"/>
      <c r="U8" s="1"/>
      <c r="V8" s="1"/>
      <c r="W8" s="1"/>
      <c r="X8" s="1"/>
      <c r="Y8" s="1"/>
    </row>
    <row r="9" spans="1:25" ht="23.5" x14ac:dyDescent="0.55000000000000004">
      <c r="A9" s="1"/>
      <c r="B9" s="1"/>
      <c r="C9" s="2"/>
      <c r="D9" s="2" t="s">
        <v>0</v>
      </c>
      <c r="E9" s="8" t="s">
        <v>3</v>
      </c>
      <c r="F9" s="2"/>
      <c r="G9" s="2"/>
      <c r="H9" s="2"/>
      <c r="I9" s="2"/>
      <c r="J9" s="2"/>
      <c r="K9" s="2"/>
      <c r="L9" s="1"/>
      <c r="M9" s="41"/>
      <c r="N9" s="41" t="s">
        <v>0</v>
      </c>
      <c r="O9" s="28" t="s">
        <v>3</v>
      </c>
      <c r="P9" s="41"/>
      <c r="Q9" s="41"/>
      <c r="R9" s="41"/>
      <c r="S9" s="41"/>
      <c r="T9" s="1"/>
      <c r="U9" s="1"/>
      <c r="V9" s="1"/>
      <c r="W9" s="1"/>
      <c r="X9" s="1"/>
      <c r="Y9" s="1"/>
    </row>
    <row r="10" spans="1:25" ht="23.5" x14ac:dyDescent="0.55000000000000004">
      <c r="A10" s="1"/>
      <c r="B10" s="1"/>
      <c r="C10" s="2"/>
      <c r="D10" s="2" t="s">
        <v>20</v>
      </c>
      <c r="E10" s="22" t="s">
        <v>21</v>
      </c>
      <c r="F10" s="2" t="s">
        <v>22</v>
      </c>
      <c r="G10" s="2"/>
      <c r="H10" s="2"/>
      <c r="I10" s="2"/>
      <c r="J10" s="2"/>
      <c r="K10" s="2"/>
      <c r="L10" s="1"/>
      <c r="M10" s="41"/>
      <c r="N10" s="41" t="s">
        <v>20</v>
      </c>
      <c r="O10" s="28" t="s">
        <v>21</v>
      </c>
      <c r="P10" s="41" t="s">
        <v>22</v>
      </c>
      <c r="Q10" s="41"/>
      <c r="R10" s="41"/>
      <c r="S10" s="41"/>
      <c r="T10" s="1"/>
      <c r="U10" s="1"/>
      <c r="V10" s="1"/>
      <c r="W10" s="1"/>
      <c r="X10" s="1"/>
      <c r="Y10" s="1"/>
    </row>
    <row r="11" spans="1:25" ht="23.5" x14ac:dyDescent="0.55000000000000004">
      <c r="A11" s="1"/>
      <c r="B11" s="1"/>
      <c r="C11" s="2"/>
      <c r="D11" s="2"/>
      <c r="E11" s="22"/>
      <c r="F11" s="2"/>
      <c r="G11" s="2"/>
      <c r="H11" s="2"/>
      <c r="I11" s="2"/>
      <c r="J11" s="2"/>
      <c r="K11" s="2"/>
      <c r="L11" s="1"/>
      <c r="M11" s="41"/>
      <c r="N11" s="41" t="s">
        <v>50</v>
      </c>
      <c r="O11" s="28" t="str">
        <f>'YIELD CURVE'!E2</f>
        <v>fwd_Curve_Rate</v>
      </c>
      <c r="P11" s="41"/>
      <c r="Q11" s="41"/>
      <c r="R11" s="41"/>
      <c r="S11" s="41"/>
      <c r="T11" s="1"/>
      <c r="U11" s="1"/>
      <c r="V11" s="1"/>
      <c r="W11" s="1"/>
      <c r="X11" s="1"/>
      <c r="Y11" s="1"/>
    </row>
    <row r="12" spans="1:25" ht="23.5" x14ac:dyDescent="0.55000000000000004">
      <c r="A12" s="1"/>
      <c r="B12" s="1"/>
      <c r="C12" s="1"/>
      <c r="D12" s="1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3.5" x14ac:dyDescent="0.55000000000000004">
      <c r="A13" s="1"/>
      <c r="B13" s="1"/>
      <c r="C13" s="46" t="s">
        <v>51</v>
      </c>
      <c r="D13" s="9" t="s">
        <v>23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1"/>
      <c r="T13" s="1"/>
      <c r="U13" s="1"/>
      <c r="V13" s="1"/>
      <c r="W13" s="1"/>
      <c r="X13" s="1"/>
      <c r="Y13" s="1"/>
    </row>
    <row r="14" spans="1:25" ht="23.5" x14ac:dyDescent="0.55000000000000004">
      <c r="A14" s="1"/>
      <c r="B14" s="1"/>
      <c r="C14" s="9" t="s">
        <v>24</v>
      </c>
      <c r="D14" s="9" t="s">
        <v>25</v>
      </c>
      <c r="E14" s="9" t="s">
        <v>26</v>
      </c>
      <c r="F14" s="9" t="s">
        <v>52</v>
      </c>
      <c r="G14" s="9" t="s">
        <v>53</v>
      </c>
      <c r="H14" s="9" t="s">
        <v>28</v>
      </c>
      <c r="I14" s="9" t="s">
        <v>29</v>
      </c>
      <c r="J14" s="9" t="s">
        <v>30</v>
      </c>
      <c r="K14" s="9"/>
      <c r="L14" s="9" t="s">
        <v>31</v>
      </c>
      <c r="M14" s="9" t="s">
        <v>32</v>
      </c>
      <c r="N14" s="9" t="s">
        <v>33</v>
      </c>
      <c r="O14" s="9" t="s">
        <v>34</v>
      </c>
      <c r="P14" s="9" t="s">
        <v>35</v>
      </c>
      <c r="Q14" s="9"/>
      <c r="R14" s="9"/>
      <c r="S14" s="1"/>
      <c r="T14" s="1"/>
      <c r="U14" s="1"/>
      <c r="V14" s="1"/>
      <c r="W14" s="1"/>
      <c r="X14" s="1"/>
      <c r="Y14" s="1"/>
    </row>
    <row r="15" spans="1:25" ht="23.5" x14ac:dyDescent="0.55000000000000004">
      <c r="A15" s="1"/>
      <c r="B15" s="1"/>
      <c r="C15" s="22">
        <v>1</v>
      </c>
      <c r="D15" s="22" t="s">
        <v>36</v>
      </c>
      <c r="E15" s="23">
        <f>$E$7</f>
        <v>1000</v>
      </c>
      <c r="F15" s="24">
        <f>$E$6</f>
        <v>4.6749162928420601E-2</v>
      </c>
      <c r="G15" s="25" t="s">
        <v>54</v>
      </c>
      <c r="H15" s="26">
        <f>'YIELD CURVE'!D14</f>
        <v>4.7310000000000019E-2</v>
      </c>
      <c r="I15" s="22">
        <v>360</v>
      </c>
      <c r="J15" s="22">
        <v>360</v>
      </c>
      <c r="K15" s="22"/>
      <c r="L15" s="27">
        <f ca="1">E4</f>
        <v>46126</v>
      </c>
      <c r="M15" s="27">
        <f ca="1">L15+I15</f>
        <v>46486</v>
      </c>
      <c r="N15" s="23">
        <f>F15*E15*I15/J15</f>
        <v>46.749162928420596</v>
      </c>
      <c r="O15" s="22">
        <f>1/(1+H15)^C15</f>
        <v>0.95482712854837637</v>
      </c>
      <c r="P15" s="23">
        <f>N15*O15</f>
        <v>44.637369000984044</v>
      </c>
      <c r="Q15" s="1"/>
      <c r="R15" s="5" t="s">
        <v>55</v>
      </c>
      <c r="S15" s="6">
        <f>SUM(P15:P19)</f>
        <v>200.28999999999985</v>
      </c>
      <c r="T15" s="1"/>
      <c r="U15" s="1"/>
      <c r="V15" s="1"/>
      <c r="W15" s="1"/>
      <c r="X15" s="1"/>
      <c r="Y15" s="1"/>
    </row>
    <row r="16" spans="1:25" ht="23.5" x14ac:dyDescent="0.55000000000000004">
      <c r="A16" s="1"/>
      <c r="B16" s="1"/>
      <c r="C16" s="22">
        <v>2</v>
      </c>
      <c r="D16" s="22" t="s">
        <v>36</v>
      </c>
      <c r="E16" s="23">
        <f t="shared" ref="E16:E24" si="0">$E$7</f>
        <v>1000</v>
      </c>
      <c r="F16" s="24">
        <f t="shared" ref="F16:F19" si="1">$E$6</f>
        <v>4.6749162928420601E-2</v>
      </c>
      <c r="G16" s="25" t="s">
        <v>54</v>
      </c>
      <c r="H16" s="26">
        <f>'YIELD CURVE'!D26</f>
        <v>4.9830000000000041E-2</v>
      </c>
      <c r="I16" s="22">
        <v>360</v>
      </c>
      <c r="J16" s="22">
        <v>360</v>
      </c>
      <c r="K16" s="22"/>
      <c r="L16" s="27">
        <f ca="1">M15</f>
        <v>46486</v>
      </c>
      <c r="M16" s="27">
        <f t="shared" ref="M16:M19" ca="1" si="2">L16+I16</f>
        <v>46846</v>
      </c>
      <c r="N16" s="23">
        <f t="shared" ref="N16:N19" si="3">F16*E16*I16/J16</f>
        <v>46.749162928420596</v>
      </c>
      <c r="O16" s="22">
        <f t="shared" ref="O16:O18" si="4">1/(1+H16)^C16</f>
        <v>0.90732325458525609</v>
      </c>
      <c r="P16" s="23">
        <f t="shared" ref="P16:P19" si="5">N16*O16</f>
        <v>42.416602657350978</v>
      </c>
      <c r="Q16" s="1"/>
      <c r="R16" s="1"/>
      <c r="S16" s="1"/>
      <c r="T16" s="1"/>
      <c r="U16" s="1"/>
      <c r="V16" s="1"/>
      <c r="W16" s="1"/>
      <c r="X16" s="1"/>
      <c r="Y16" s="1"/>
    </row>
    <row r="17" spans="1:25" ht="23.5" x14ac:dyDescent="0.55000000000000004">
      <c r="A17" s="1"/>
      <c r="B17" s="1"/>
      <c r="C17" s="22">
        <v>3</v>
      </c>
      <c r="D17" s="22" t="s">
        <v>36</v>
      </c>
      <c r="E17" s="23">
        <f t="shared" si="0"/>
        <v>1000</v>
      </c>
      <c r="F17" s="24">
        <f t="shared" si="1"/>
        <v>4.6749162928420601E-2</v>
      </c>
      <c r="G17" s="25" t="s">
        <v>54</v>
      </c>
      <c r="H17" s="26">
        <f>'YIELD CURVE'!D38</f>
        <v>5.2350000000000063E-2</v>
      </c>
      <c r="I17" s="22">
        <v>360</v>
      </c>
      <c r="J17" s="22">
        <v>360</v>
      </c>
      <c r="K17" s="22"/>
      <c r="L17" s="27">
        <f t="shared" ref="L17:L19" ca="1" si="6">M16</f>
        <v>46846</v>
      </c>
      <c r="M17" s="27">
        <f t="shared" ca="1" si="2"/>
        <v>47206</v>
      </c>
      <c r="N17" s="23">
        <f t="shared" si="3"/>
        <v>46.749162928420596</v>
      </c>
      <c r="O17" s="22">
        <f t="shared" si="4"/>
        <v>0.85806341170491729</v>
      </c>
      <c r="P17" s="23">
        <f t="shared" si="5"/>
        <v>40.113746236709616</v>
      </c>
      <c r="Q17" s="1"/>
      <c r="R17" s="1"/>
      <c r="S17" s="1"/>
      <c r="T17" s="1"/>
      <c r="U17" s="1"/>
      <c r="V17" s="1"/>
      <c r="W17" s="1"/>
      <c r="X17" s="1"/>
      <c r="Y17" s="1"/>
    </row>
    <row r="18" spans="1:25" ht="23.5" x14ac:dyDescent="0.55000000000000004">
      <c r="A18" s="1"/>
      <c r="B18" s="1"/>
      <c r="C18" s="22">
        <v>4</v>
      </c>
      <c r="D18" s="22" t="s">
        <v>36</v>
      </c>
      <c r="E18" s="23">
        <f t="shared" si="0"/>
        <v>1000</v>
      </c>
      <c r="F18" s="24">
        <f t="shared" si="1"/>
        <v>4.6749162928420601E-2</v>
      </c>
      <c r="G18" s="25" t="s">
        <v>54</v>
      </c>
      <c r="H18" s="26">
        <f>'YIELD CURVE'!D50</f>
        <v>5.4870000000000085E-2</v>
      </c>
      <c r="I18" s="22">
        <v>360</v>
      </c>
      <c r="J18" s="22">
        <v>360</v>
      </c>
      <c r="K18" s="22"/>
      <c r="L18" s="27">
        <f t="shared" ca="1" si="6"/>
        <v>47206</v>
      </c>
      <c r="M18" s="27">
        <f t="shared" ca="1" si="2"/>
        <v>47566</v>
      </c>
      <c r="N18" s="23">
        <f t="shared" si="3"/>
        <v>46.749162928420596</v>
      </c>
      <c r="O18" s="22">
        <f t="shared" si="4"/>
        <v>0.8076147357629565</v>
      </c>
      <c r="P18" s="23">
        <f t="shared" si="5"/>
        <v>37.755312865575803</v>
      </c>
      <c r="Q18" s="1"/>
      <c r="R18" s="1"/>
      <c r="S18" s="1"/>
      <c r="T18" s="1"/>
      <c r="U18" s="1"/>
      <c r="V18" s="1"/>
      <c r="W18" s="1"/>
      <c r="X18" s="1"/>
      <c r="Y18" s="1"/>
    </row>
    <row r="19" spans="1:25" ht="23.5" x14ac:dyDescent="0.55000000000000004">
      <c r="A19" s="1"/>
      <c r="B19" s="1"/>
      <c r="C19" s="22">
        <v>5</v>
      </c>
      <c r="D19" s="22" t="s">
        <v>36</v>
      </c>
      <c r="E19" s="23">
        <f t="shared" si="0"/>
        <v>1000</v>
      </c>
      <c r="F19" s="24">
        <f t="shared" si="1"/>
        <v>4.6749162928420601E-2</v>
      </c>
      <c r="G19" s="25" t="s">
        <v>54</v>
      </c>
      <c r="H19" s="26">
        <f>'YIELD CURVE'!D62</f>
        <v>5.7390000000000108E-2</v>
      </c>
      <c r="I19" s="22">
        <v>360</v>
      </c>
      <c r="J19" s="22">
        <v>360</v>
      </c>
      <c r="K19" s="22"/>
      <c r="L19" s="27">
        <f t="shared" ca="1" si="6"/>
        <v>47566</v>
      </c>
      <c r="M19" s="27">
        <f t="shared" ca="1" si="2"/>
        <v>47926</v>
      </c>
      <c r="N19" s="23">
        <f t="shared" si="3"/>
        <v>46.749162928420596</v>
      </c>
      <c r="O19" s="22">
        <f>1/(1+H19)^C19</f>
        <v>0.75652625681300578</v>
      </c>
      <c r="P19" s="23">
        <f t="shared" si="5"/>
        <v>35.366969239379372</v>
      </c>
      <c r="Q19" s="1"/>
      <c r="R19" s="1"/>
      <c r="S19" s="1"/>
      <c r="T19" s="1"/>
      <c r="U19" s="1"/>
      <c r="V19" s="1"/>
      <c r="W19" s="1"/>
      <c r="X19" s="1"/>
      <c r="Y19" s="1"/>
    </row>
    <row r="20" spans="1:25" ht="23.5" x14ac:dyDescent="0.55000000000000004">
      <c r="A20" s="1"/>
      <c r="B20" s="1"/>
      <c r="C20" s="28">
        <v>1</v>
      </c>
      <c r="D20" s="28" t="s">
        <v>56</v>
      </c>
      <c r="E20" s="48">
        <f t="shared" si="0"/>
        <v>1000</v>
      </c>
      <c r="F20" s="30" t="s">
        <v>57</v>
      </c>
      <c r="G20" s="31">
        <f>'YIELD CURVE'!H5</f>
        <v>2.2499999999999999E-2</v>
      </c>
      <c r="H20" s="32">
        <f>'YIELD CURVE'!$C$3</f>
        <v>0.04</v>
      </c>
      <c r="I20" s="28">
        <v>360</v>
      </c>
      <c r="J20" s="28">
        <v>360</v>
      </c>
      <c r="K20" s="28"/>
      <c r="L20" s="33">
        <f ca="1">O4</f>
        <v>46126</v>
      </c>
      <c r="M20" s="33">
        <f ca="1">L20+I20</f>
        <v>46486</v>
      </c>
      <c r="N20" s="29">
        <f>G20*E20*I20/J20</f>
        <v>22.5</v>
      </c>
      <c r="O20" s="28">
        <f>1/(1+H20)^C20</f>
        <v>0.96153846153846145</v>
      </c>
      <c r="P20" s="29">
        <f>N20*O20</f>
        <v>21.634615384615383</v>
      </c>
      <c r="Q20" s="1"/>
      <c r="R20" s="41" t="s">
        <v>58</v>
      </c>
      <c r="S20" s="47">
        <f>SUM(P20:P24)</f>
        <v>200.28865448749366</v>
      </c>
      <c r="T20" s="1"/>
      <c r="U20" s="1"/>
      <c r="V20" s="1"/>
      <c r="W20" s="1"/>
      <c r="X20" s="1"/>
      <c r="Y20" s="1"/>
    </row>
    <row r="21" spans="1:25" ht="23.5" x14ac:dyDescent="0.55000000000000004">
      <c r="A21" s="1"/>
      <c r="B21" s="1"/>
      <c r="C21" s="28">
        <v>2</v>
      </c>
      <c r="D21" s="28" t="s">
        <v>56</v>
      </c>
      <c r="E21" s="48">
        <f t="shared" si="0"/>
        <v>1000</v>
      </c>
      <c r="F21" s="30" t="s">
        <v>57</v>
      </c>
      <c r="G21" s="34">
        <v>4.6800000000000001E-2</v>
      </c>
      <c r="H21" s="32">
        <f>'YIELD CURVE'!$C$3</f>
        <v>0.04</v>
      </c>
      <c r="I21" s="28">
        <v>360</v>
      </c>
      <c r="J21" s="28">
        <v>360</v>
      </c>
      <c r="K21" s="28"/>
      <c r="L21" s="33">
        <f ca="1">M20</f>
        <v>46486</v>
      </c>
      <c r="M21" s="33">
        <f t="shared" ref="M21:M24" ca="1" si="7">L21+I21</f>
        <v>46846</v>
      </c>
      <c r="N21" s="35">
        <f t="shared" ref="N21:N24" si="8">G21*E21*I21/J21</f>
        <v>46.8</v>
      </c>
      <c r="O21" s="28">
        <f t="shared" ref="O21:O24" si="9">1/(1+H21)^C21</f>
        <v>0.92455621301775137</v>
      </c>
      <c r="P21" s="29">
        <f t="shared" ref="P21:P24" si="10">N21*O21</f>
        <v>43.269230769230759</v>
      </c>
      <c r="Q21" s="1"/>
      <c r="R21" s="1"/>
      <c r="S21" s="1"/>
      <c r="T21" s="1"/>
      <c r="U21" s="1"/>
      <c r="V21" s="1"/>
      <c r="W21" s="1"/>
      <c r="X21" s="1"/>
      <c r="Y21" s="1"/>
    </row>
    <row r="22" spans="1:25" ht="23.5" x14ac:dyDescent="0.55000000000000004">
      <c r="A22" s="1"/>
      <c r="B22" s="1"/>
      <c r="C22" s="28">
        <v>3</v>
      </c>
      <c r="D22" s="28" t="s">
        <v>56</v>
      </c>
      <c r="E22" s="48">
        <f t="shared" si="0"/>
        <v>1000</v>
      </c>
      <c r="F22" s="30" t="s">
        <v>57</v>
      </c>
      <c r="G22" s="34">
        <v>5.0200000000000002E-2</v>
      </c>
      <c r="H22" s="32">
        <f>'YIELD CURVE'!$C$3</f>
        <v>0.04</v>
      </c>
      <c r="I22" s="28">
        <v>360</v>
      </c>
      <c r="J22" s="28">
        <v>360</v>
      </c>
      <c r="K22" s="28"/>
      <c r="L22" s="33">
        <f t="shared" ref="L22:L24" ca="1" si="11">M21</f>
        <v>46846</v>
      </c>
      <c r="M22" s="33">
        <f t="shared" ca="1" si="7"/>
        <v>47206</v>
      </c>
      <c r="N22" s="35">
        <f t="shared" si="8"/>
        <v>50.2</v>
      </c>
      <c r="O22" s="28">
        <f t="shared" si="9"/>
        <v>0.88899635867091487</v>
      </c>
      <c r="P22" s="29">
        <f t="shared" si="10"/>
        <v>44.627617205279925</v>
      </c>
      <c r="Q22" s="1"/>
      <c r="R22" s="1"/>
      <c r="S22" s="1"/>
      <c r="T22" s="1"/>
      <c r="U22" s="1"/>
      <c r="V22" s="1"/>
      <c r="W22" s="1"/>
      <c r="X22" s="1"/>
      <c r="Y22" s="1"/>
    </row>
    <row r="23" spans="1:25" ht="23.5" x14ac:dyDescent="0.55000000000000004">
      <c r="A23" s="1"/>
      <c r="B23" s="1"/>
      <c r="C23" s="28">
        <v>4</v>
      </c>
      <c r="D23" s="28" t="s">
        <v>56</v>
      </c>
      <c r="E23" s="48">
        <f t="shared" si="0"/>
        <v>1000</v>
      </c>
      <c r="F23" s="30" t="s">
        <v>57</v>
      </c>
      <c r="G23" s="34">
        <v>5.2999999999999999E-2</v>
      </c>
      <c r="H23" s="32">
        <f>'YIELD CURVE'!$C$3</f>
        <v>0.04</v>
      </c>
      <c r="I23" s="28">
        <v>360</v>
      </c>
      <c r="J23" s="28">
        <v>360</v>
      </c>
      <c r="K23" s="28"/>
      <c r="L23" s="33">
        <f t="shared" ca="1" si="11"/>
        <v>47206</v>
      </c>
      <c r="M23" s="33">
        <f t="shared" ca="1" si="7"/>
        <v>47566</v>
      </c>
      <c r="N23" s="35">
        <f t="shared" si="8"/>
        <v>53</v>
      </c>
      <c r="O23" s="28">
        <f t="shared" si="9"/>
        <v>0.85480419102972571</v>
      </c>
      <c r="P23" s="29">
        <f t="shared" si="10"/>
        <v>45.304622124575459</v>
      </c>
      <c r="Q23" s="1"/>
      <c r="R23" s="1"/>
      <c r="S23" s="1"/>
      <c r="T23" s="1"/>
      <c r="U23" s="1"/>
      <c r="V23" s="1"/>
      <c r="W23" s="1"/>
      <c r="X23" s="1"/>
      <c r="Y23" s="1"/>
    </row>
    <row r="24" spans="1:25" ht="23.5" x14ac:dyDescent="0.55000000000000004">
      <c r="A24" s="1"/>
      <c r="B24" s="1"/>
      <c r="C24" s="28">
        <v>5</v>
      </c>
      <c r="D24" s="28" t="s">
        <v>56</v>
      </c>
      <c r="E24" s="48">
        <f t="shared" si="0"/>
        <v>1000</v>
      </c>
      <c r="F24" s="30" t="s">
        <v>57</v>
      </c>
      <c r="G24" s="34">
        <v>5.5300000000000002E-2</v>
      </c>
      <c r="H24" s="32">
        <f>'YIELD CURVE'!$C$3</f>
        <v>0.04</v>
      </c>
      <c r="I24" s="28">
        <v>360</v>
      </c>
      <c r="J24" s="28">
        <v>360</v>
      </c>
      <c r="K24" s="28"/>
      <c r="L24" s="33">
        <f t="shared" ca="1" si="11"/>
        <v>47566</v>
      </c>
      <c r="M24" s="33">
        <f t="shared" ca="1" si="7"/>
        <v>47926</v>
      </c>
      <c r="N24" s="35">
        <f t="shared" si="8"/>
        <v>55.3</v>
      </c>
      <c r="O24" s="28">
        <f t="shared" si="9"/>
        <v>0.82192710675935154</v>
      </c>
      <c r="P24" s="29">
        <f t="shared" si="10"/>
        <v>45.452569003792135</v>
      </c>
      <c r="Q24" s="1"/>
      <c r="R24" s="1"/>
      <c r="S24" s="1"/>
      <c r="T24" s="1"/>
      <c r="U24" s="1"/>
      <c r="V24" s="1"/>
      <c r="W24" s="1"/>
      <c r="X24" s="1"/>
      <c r="Y24" s="1"/>
    </row>
    <row r="25" spans="1:25" ht="23.5" x14ac:dyDescent="0.5500000000000000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1"/>
      <c r="R25" s="1"/>
      <c r="S25" s="1"/>
      <c r="T25" s="1"/>
      <c r="U25" s="1"/>
      <c r="V25" s="1"/>
      <c r="W25" s="1"/>
      <c r="X25" s="1"/>
      <c r="Y25" s="1"/>
    </row>
    <row r="26" spans="1:25" ht="23.5" x14ac:dyDescent="0.5500000000000000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1"/>
      <c r="R26" s="1"/>
      <c r="S26" s="1"/>
      <c r="T26" s="1"/>
      <c r="U26" s="1"/>
      <c r="V26" s="1"/>
      <c r="W26" s="1"/>
      <c r="X26" s="1"/>
      <c r="Y26" s="1"/>
    </row>
    <row r="27" spans="1:25" ht="23.5" x14ac:dyDescent="0.55000000000000004">
      <c r="A27" s="1"/>
      <c r="B27" s="1"/>
      <c r="C27" s="46" t="s">
        <v>59</v>
      </c>
      <c r="D27" s="9" t="s">
        <v>23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"/>
      <c r="T27" s="1"/>
      <c r="U27" s="1"/>
      <c r="V27" s="1"/>
      <c r="W27" s="1"/>
      <c r="X27" s="1"/>
      <c r="Y27" s="1"/>
    </row>
    <row r="28" spans="1:25" ht="23.5" x14ac:dyDescent="0.55000000000000004">
      <c r="A28" s="1"/>
      <c r="B28" s="1"/>
      <c r="C28" s="9" t="s">
        <v>24</v>
      </c>
      <c r="D28" s="9" t="s">
        <v>25</v>
      </c>
      <c r="E28" s="9" t="s">
        <v>26</v>
      </c>
      <c r="F28" s="9" t="s">
        <v>52</v>
      </c>
      <c r="G28" s="9" t="s">
        <v>53</v>
      </c>
      <c r="H28" s="9" t="s">
        <v>28</v>
      </c>
      <c r="I28" s="9" t="s">
        <v>29</v>
      </c>
      <c r="J28" s="9" t="s">
        <v>30</v>
      </c>
      <c r="K28" s="9" t="s">
        <v>60</v>
      </c>
      <c r="L28" s="9" t="s">
        <v>31</v>
      </c>
      <c r="M28" s="9" t="s">
        <v>32</v>
      </c>
      <c r="N28" s="9" t="s">
        <v>33</v>
      </c>
      <c r="O28" s="9" t="s">
        <v>34</v>
      </c>
      <c r="P28" s="9" t="s">
        <v>35</v>
      </c>
      <c r="Q28" s="9"/>
      <c r="R28" s="9"/>
      <c r="S28" s="1"/>
      <c r="T28" s="1"/>
      <c r="U28" s="1"/>
      <c r="V28" s="1"/>
      <c r="W28" s="1"/>
      <c r="X28" s="1"/>
      <c r="Y28" s="1"/>
    </row>
    <row r="29" spans="1:25" ht="23.5" x14ac:dyDescent="0.55000000000000004">
      <c r="A29" s="1"/>
      <c r="B29" s="1"/>
      <c r="C29" s="22">
        <v>1</v>
      </c>
      <c r="D29" s="22" t="s">
        <v>36</v>
      </c>
      <c r="E29" s="23">
        <f>$E$7</f>
        <v>1000</v>
      </c>
      <c r="F29" s="24">
        <f>$E$150</f>
        <v>0</v>
      </c>
      <c r="G29" s="25" t="s">
        <v>54</v>
      </c>
      <c r="H29" s="26">
        <f>'YIELD CURVE'!D28</f>
        <v>5.0250000000000045E-2</v>
      </c>
      <c r="I29" s="22">
        <v>360</v>
      </c>
      <c r="J29" s="22">
        <v>360</v>
      </c>
      <c r="K29" s="22"/>
      <c r="L29" s="27">
        <f ca="1">L15</f>
        <v>46126</v>
      </c>
      <c r="M29" s="27">
        <f ca="1">L29+I29</f>
        <v>46486</v>
      </c>
      <c r="N29" s="23">
        <f>N15</f>
        <v>46.749162928420596</v>
      </c>
      <c r="O29" s="36">
        <f t="shared" ref="O29:P29" si="12">O15</f>
        <v>0.95482712854837637</v>
      </c>
      <c r="P29" s="23">
        <f t="shared" si="12"/>
        <v>44.637369000984044</v>
      </c>
      <c r="Q29" s="1"/>
      <c r="R29" s="5" t="s">
        <v>55</v>
      </c>
      <c r="S29" s="6">
        <f>SUM(P29:P33)</f>
        <v>200.28999999999985</v>
      </c>
      <c r="T29" s="1"/>
      <c r="U29" s="1"/>
      <c r="V29" s="1"/>
      <c r="W29" s="1"/>
      <c r="X29" s="1"/>
      <c r="Y29" s="1"/>
    </row>
    <row r="30" spans="1:25" ht="23.5" x14ac:dyDescent="0.55000000000000004">
      <c r="A30" s="1"/>
      <c r="B30" s="1"/>
      <c r="C30" s="22">
        <v>2</v>
      </c>
      <c r="D30" s="22" t="s">
        <v>36</v>
      </c>
      <c r="E30" s="23">
        <f t="shared" ref="E30:E33" si="13">$E$7</f>
        <v>1000</v>
      </c>
      <c r="F30" s="24">
        <f t="shared" ref="F30:F33" si="14">$E$150</f>
        <v>0</v>
      </c>
      <c r="G30" s="25" t="s">
        <v>54</v>
      </c>
      <c r="H30" s="26">
        <f>'YIELD CURVE'!D40</f>
        <v>5.2770000000000067E-2</v>
      </c>
      <c r="I30" s="22">
        <v>360</v>
      </c>
      <c r="J30" s="22">
        <v>360</v>
      </c>
      <c r="K30" s="22"/>
      <c r="L30" s="27">
        <f t="shared" ref="L30:L33" ca="1" si="15">L16</f>
        <v>46486</v>
      </c>
      <c r="M30" s="27">
        <f t="shared" ref="M30:M33" ca="1" si="16">L30+I30</f>
        <v>46846</v>
      </c>
      <c r="N30" s="23">
        <f t="shared" ref="N30:P38" si="17">N16</f>
        <v>46.749162928420596</v>
      </c>
      <c r="O30" s="36">
        <f t="shared" si="17"/>
        <v>0.90732325458525609</v>
      </c>
      <c r="P30" s="23">
        <f t="shared" si="17"/>
        <v>42.416602657350978</v>
      </c>
      <c r="Q30" s="1"/>
      <c r="R30" s="1"/>
      <c r="S30" s="1"/>
      <c r="T30" s="1"/>
      <c r="U30" s="1"/>
      <c r="V30" s="1"/>
      <c r="W30" s="1"/>
      <c r="X30" s="1"/>
      <c r="Y30" s="1"/>
    </row>
    <row r="31" spans="1:25" ht="23.5" x14ac:dyDescent="0.55000000000000004">
      <c r="A31" s="1"/>
      <c r="B31" s="1"/>
      <c r="C31" s="22">
        <v>3</v>
      </c>
      <c r="D31" s="22" t="s">
        <v>36</v>
      </c>
      <c r="E31" s="23">
        <f t="shared" si="13"/>
        <v>1000</v>
      </c>
      <c r="F31" s="24">
        <f t="shared" si="14"/>
        <v>0</v>
      </c>
      <c r="G31" s="25" t="s">
        <v>54</v>
      </c>
      <c r="H31" s="26">
        <f>'YIELD CURVE'!D52</f>
        <v>5.5290000000000089E-2</v>
      </c>
      <c r="I31" s="22">
        <v>360</v>
      </c>
      <c r="J31" s="22">
        <v>360</v>
      </c>
      <c r="K31" s="22"/>
      <c r="L31" s="27">
        <f t="shared" ca="1" si="15"/>
        <v>46846</v>
      </c>
      <c r="M31" s="27">
        <f t="shared" ca="1" si="16"/>
        <v>47206</v>
      </c>
      <c r="N31" s="23">
        <f t="shared" si="17"/>
        <v>46.749162928420596</v>
      </c>
      <c r="O31" s="36">
        <f t="shared" si="17"/>
        <v>0.85806341170491729</v>
      </c>
      <c r="P31" s="23">
        <f t="shared" si="17"/>
        <v>40.113746236709616</v>
      </c>
      <c r="Q31" s="1"/>
      <c r="R31" s="1"/>
      <c r="S31" s="1"/>
      <c r="T31" s="1"/>
      <c r="U31" s="1"/>
      <c r="V31" s="1"/>
      <c r="W31" s="1"/>
      <c r="X31" s="1"/>
      <c r="Y31" s="1"/>
    </row>
    <row r="32" spans="1:25" ht="23.5" x14ac:dyDescent="0.55000000000000004">
      <c r="A32" s="1"/>
      <c r="B32" s="1"/>
      <c r="C32" s="22">
        <v>4</v>
      </c>
      <c r="D32" s="22" t="s">
        <v>36</v>
      </c>
      <c r="E32" s="23">
        <f t="shared" si="13"/>
        <v>1000</v>
      </c>
      <c r="F32" s="24">
        <f t="shared" si="14"/>
        <v>0</v>
      </c>
      <c r="G32" s="25" t="s">
        <v>54</v>
      </c>
      <c r="H32" s="26">
        <f>'YIELD CURVE'!D64</f>
        <v>5.7810000000000111E-2</v>
      </c>
      <c r="I32" s="22">
        <v>360</v>
      </c>
      <c r="J32" s="22">
        <v>360</v>
      </c>
      <c r="K32" s="22"/>
      <c r="L32" s="27">
        <f t="shared" ca="1" si="15"/>
        <v>47206</v>
      </c>
      <c r="M32" s="27">
        <f t="shared" ca="1" si="16"/>
        <v>47566</v>
      </c>
      <c r="N32" s="23">
        <f t="shared" si="17"/>
        <v>46.749162928420596</v>
      </c>
      <c r="O32" s="36">
        <f t="shared" si="17"/>
        <v>0.8076147357629565</v>
      </c>
      <c r="P32" s="23">
        <f t="shared" si="17"/>
        <v>37.755312865575803</v>
      </c>
      <c r="Q32" s="1"/>
      <c r="R32" s="1"/>
      <c r="S32" s="1"/>
      <c r="T32" s="1"/>
      <c r="U32" s="1"/>
      <c r="V32" s="1"/>
      <c r="W32" s="1"/>
      <c r="X32" s="1"/>
      <c r="Y32" s="1"/>
    </row>
    <row r="33" spans="1:25" ht="23.5" x14ac:dyDescent="0.55000000000000004">
      <c r="A33" s="1"/>
      <c r="B33" s="1"/>
      <c r="C33" s="22">
        <v>5</v>
      </c>
      <c r="D33" s="22" t="s">
        <v>36</v>
      </c>
      <c r="E33" s="23">
        <f t="shared" si="13"/>
        <v>1000</v>
      </c>
      <c r="F33" s="24">
        <f t="shared" si="14"/>
        <v>0</v>
      </c>
      <c r="G33" s="25" t="s">
        <v>54</v>
      </c>
      <c r="H33" s="26">
        <f>'YIELD CURVE'!D76</f>
        <v>6.0330000000000134E-2</v>
      </c>
      <c r="I33" s="22">
        <v>360</v>
      </c>
      <c r="J33" s="22">
        <v>360</v>
      </c>
      <c r="K33" s="22"/>
      <c r="L33" s="27">
        <f t="shared" ca="1" si="15"/>
        <v>47566</v>
      </c>
      <c r="M33" s="27">
        <f t="shared" ca="1" si="16"/>
        <v>47926</v>
      </c>
      <c r="N33" s="23">
        <f t="shared" si="17"/>
        <v>46.749162928420596</v>
      </c>
      <c r="O33" s="36">
        <f t="shared" si="17"/>
        <v>0.75652625681300578</v>
      </c>
      <c r="P33" s="23">
        <f t="shared" si="17"/>
        <v>35.366969239379372</v>
      </c>
      <c r="Q33" s="1"/>
      <c r="R33" s="1"/>
      <c r="S33" s="1"/>
      <c r="T33" s="1"/>
      <c r="U33" s="1"/>
      <c r="V33" s="1"/>
      <c r="W33" s="1"/>
      <c r="X33" s="1"/>
      <c r="Y33" s="1"/>
    </row>
    <row r="34" spans="1:25" ht="23.5" x14ac:dyDescent="0.55000000000000004">
      <c r="A34" s="1"/>
      <c r="B34" s="1"/>
      <c r="C34" s="28">
        <v>1</v>
      </c>
      <c r="D34" s="28" t="s">
        <v>56</v>
      </c>
      <c r="E34" s="29">
        <f>$O$7</f>
        <v>1000</v>
      </c>
      <c r="F34" s="30" t="s">
        <v>57</v>
      </c>
      <c r="G34" s="31">
        <v>2.2499999999999999E-2</v>
      </c>
      <c r="H34" s="32">
        <f>'YIELD CURVE'!$C$3</f>
        <v>0.04</v>
      </c>
      <c r="I34" s="28">
        <v>360</v>
      </c>
      <c r="J34" s="28">
        <v>360</v>
      </c>
      <c r="K34" s="33">
        <f ca="1">L34</f>
        <v>46126</v>
      </c>
      <c r="L34" s="33">
        <f ca="1">L20</f>
        <v>46126</v>
      </c>
      <c r="M34" s="33">
        <f ca="1">M20</f>
        <v>46486</v>
      </c>
      <c r="N34" s="29">
        <f>N20</f>
        <v>22.5</v>
      </c>
      <c r="O34" s="37">
        <f t="shared" si="17"/>
        <v>0.96153846153846145</v>
      </c>
      <c r="P34" s="29">
        <f>N34*O34</f>
        <v>21.634615384615383</v>
      </c>
      <c r="Q34" s="1"/>
      <c r="R34" s="41" t="s">
        <v>58</v>
      </c>
      <c r="S34" s="47">
        <f>SUM(P34:P38)</f>
        <v>81.4096258716162</v>
      </c>
      <c r="T34" s="1"/>
      <c r="U34" s="1"/>
      <c r="V34" s="1"/>
      <c r="W34" s="1"/>
      <c r="X34" s="1"/>
      <c r="Y34" s="1"/>
    </row>
    <row r="35" spans="1:25" ht="23.5" x14ac:dyDescent="0.55000000000000004">
      <c r="A35" s="1"/>
      <c r="B35" s="1"/>
      <c r="C35" s="28">
        <v>2</v>
      </c>
      <c r="D35" s="28" t="s">
        <v>56</v>
      </c>
      <c r="E35" s="29">
        <f t="shared" ref="E35:E38" si="18">$O$7</f>
        <v>1000</v>
      </c>
      <c r="F35" s="30" t="s">
        <v>57</v>
      </c>
      <c r="G35" s="31">
        <v>0.01</v>
      </c>
      <c r="H35" s="32">
        <f>'YIELD CURVE'!$C$3</f>
        <v>0.04</v>
      </c>
      <c r="I35" s="28">
        <v>360</v>
      </c>
      <c r="J35" s="28">
        <v>360</v>
      </c>
      <c r="K35" s="33">
        <f t="shared" ref="K35:K38" ca="1" si="19">L35</f>
        <v>46486</v>
      </c>
      <c r="L35" s="33">
        <f t="shared" ref="L35:M38" ca="1" si="20">L21</f>
        <v>46486</v>
      </c>
      <c r="M35" s="33">
        <f t="shared" ca="1" si="20"/>
        <v>46846</v>
      </c>
      <c r="N35" s="29">
        <f>G35*E35*I35/J35</f>
        <v>10</v>
      </c>
      <c r="O35" s="37">
        <f t="shared" si="17"/>
        <v>0.92455621301775137</v>
      </c>
      <c r="P35" s="29">
        <f t="shared" ref="P35:P38" si="21">N35*O35</f>
        <v>9.2455621301775146</v>
      </c>
      <c r="Q35" s="1"/>
      <c r="R35" s="1"/>
      <c r="S35" s="1"/>
      <c r="T35" s="1"/>
      <c r="U35" s="1"/>
      <c r="V35" s="1"/>
      <c r="W35" s="1"/>
      <c r="X35" s="1"/>
      <c r="Y35" s="1"/>
    </row>
    <row r="36" spans="1:25" ht="23.5" x14ac:dyDescent="0.55000000000000004">
      <c r="A36" s="1"/>
      <c r="B36" s="1"/>
      <c r="C36" s="28">
        <v>3</v>
      </c>
      <c r="D36" s="28" t="s">
        <v>56</v>
      </c>
      <c r="E36" s="29">
        <f t="shared" si="18"/>
        <v>1000</v>
      </c>
      <c r="F36" s="30" t="s">
        <v>57</v>
      </c>
      <c r="G36" s="31">
        <v>2.3E-2</v>
      </c>
      <c r="H36" s="32">
        <f>'YIELD CURVE'!$C$3</f>
        <v>0.04</v>
      </c>
      <c r="I36" s="28">
        <v>360</v>
      </c>
      <c r="J36" s="28">
        <v>360</v>
      </c>
      <c r="K36" s="33">
        <f t="shared" ca="1" si="19"/>
        <v>46846</v>
      </c>
      <c r="L36" s="33">
        <f t="shared" ca="1" si="20"/>
        <v>46846</v>
      </c>
      <c r="M36" s="33">
        <f t="shared" ca="1" si="20"/>
        <v>47206</v>
      </c>
      <c r="N36" s="29">
        <f t="shared" ref="N36:N38" si="22">G36*E36*I36/J36</f>
        <v>23</v>
      </c>
      <c r="O36" s="37">
        <f t="shared" si="17"/>
        <v>0.88899635867091487</v>
      </c>
      <c r="P36" s="29">
        <f t="shared" si="21"/>
        <v>20.446916249431041</v>
      </c>
      <c r="Q36" s="1"/>
      <c r="R36" s="1"/>
      <c r="S36" s="1"/>
      <c r="T36" s="1"/>
      <c r="U36" s="1"/>
      <c r="V36" s="1"/>
      <c r="W36" s="1"/>
      <c r="X36" s="1"/>
      <c r="Y36" s="1"/>
    </row>
    <row r="37" spans="1:25" ht="23.5" x14ac:dyDescent="0.55000000000000004">
      <c r="A37" s="1"/>
      <c r="B37" s="1"/>
      <c r="C37" s="28">
        <v>4</v>
      </c>
      <c r="D37" s="28" t="s">
        <v>56</v>
      </c>
      <c r="E37" s="29">
        <f t="shared" si="18"/>
        <v>1000</v>
      </c>
      <c r="F37" s="30" t="s">
        <v>57</v>
      </c>
      <c r="G37" s="31">
        <v>1.4999999999999999E-2</v>
      </c>
      <c r="H37" s="32">
        <f>'YIELD CURVE'!$C$3</f>
        <v>0.04</v>
      </c>
      <c r="I37" s="28">
        <v>360</v>
      </c>
      <c r="J37" s="28">
        <v>360</v>
      </c>
      <c r="K37" s="33">
        <f t="shared" ca="1" si="19"/>
        <v>47206</v>
      </c>
      <c r="L37" s="33">
        <f t="shared" ca="1" si="20"/>
        <v>47206</v>
      </c>
      <c r="M37" s="33">
        <f t="shared" ca="1" si="20"/>
        <v>47566</v>
      </c>
      <c r="N37" s="29">
        <f t="shared" si="22"/>
        <v>15</v>
      </c>
      <c r="O37" s="37">
        <f t="shared" si="17"/>
        <v>0.85480419102972571</v>
      </c>
      <c r="P37" s="29">
        <f t="shared" si="21"/>
        <v>12.822062865445886</v>
      </c>
      <c r="Q37" s="1"/>
      <c r="R37" s="1"/>
      <c r="S37" s="1"/>
      <c r="T37" s="1"/>
      <c r="U37" s="1"/>
      <c r="V37" s="1"/>
      <c r="W37" s="1"/>
      <c r="X37" s="1"/>
      <c r="Y37" s="1"/>
    </row>
    <row r="38" spans="1:25" ht="23.5" x14ac:dyDescent="0.55000000000000004">
      <c r="A38" s="1"/>
      <c r="B38" s="1"/>
      <c r="C38" s="28">
        <v>5</v>
      </c>
      <c r="D38" s="28" t="s">
        <v>56</v>
      </c>
      <c r="E38" s="29">
        <f t="shared" si="18"/>
        <v>1000</v>
      </c>
      <c r="F38" s="30" t="s">
        <v>57</v>
      </c>
      <c r="G38" s="31">
        <v>2.1000000000000001E-2</v>
      </c>
      <c r="H38" s="32">
        <f>'YIELD CURVE'!$C$3</f>
        <v>0.04</v>
      </c>
      <c r="I38" s="28">
        <v>360</v>
      </c>
      <c r="J38" s="28">
        <v>360</v>
      </c>
      <c r="K38" s="33">
        <f t="shared" ca="1" si="19"/>
        <v>47566</v>
      </c>
      <c r="L38" s="33">
        <f t="shared" ca="1" si="20"/>
        <v>47566</v>
      </c>
      <c r="M38" s="33">
        <f t="shared" ca="1" si="20"/>
        <v>47926</v>
      </c>
      <c r="N38" s="29">
        <f t="shared" si="22"/>
        <v>21</v>
      </c>
      <c r="O38" s="37">
        <f t="shared" si="17"/>
        <v>0.82192710675935154</v>
      </c>
      <c r="P38" s="29">
        <f t="shared" si="21"/>
        <v>17.260469241946382</v>
      </c>
      <c r="Q38" s="1"/>
      <c r="R38" s="1"/>
      <c r="S38" s="1"/>
      <c r="T38" s="1"/>
      <c r="U38" s="1"/>
      <c r="V38" s="1"/>
      <c r="W38" s="1"/>
      <c r="X38" s="1"/>
      <c r="Y38" s="1"/>
    </row>
    <row r="39" spans="1:25" ht="23.5" x14ac:dyDescent="0.55000000000000004">
      <c r="A39" s="1"/>
      <c r="B39" s="1"/>
      <c r="C39" s="1"/>
      <c r="D39" s="1"/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3.5" x14ac:dyDescent="0.55000000000000004">
      <c r="A40" s="1"/>
      <c r="B40" s="1"/>
      <c r="C40" s="1"/>
      <c r="D40" s="1"/>
      <c r="E40" s="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3.5" x14ac:dyDescent="0.55000000000000004">
      <c r="A41" s="1"/>
      <c r="B41" s="1"/>
      <c r="C41" s="1"/>
      <c r="D41" s="1"/>
      <c r="E41" s="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3.5" x14ac:dyDescent="0.55000000000000004">
      <c r="A42" s="1"/>
      <c r="B42" s="1"/>
      <c r="C42" s="1"/>
      <c r="D42" s="1"/>
      <c r="E42" s="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3.5" x14ac:dyDescent="0.55000000000000004">
      <c r="A43" s="1"/>
      <c r="B43" s="1"/>
      <c r="C43" s="54" t="s">
        <v>65</v>
      </c>
      <c r="D43" s="1"/>
      <c r="E43" s="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3.5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3.5" x14ac:dyDescent="0.55000000000000004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5" ht="23.5" x14ac:dyDescent="0.55000000000000004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5" ht="23.5" x14ac:dyDescent="0.55000000000000004">
      <c r="C47" s="5" t="s">
        <v>45</v>
      </c>
      <c r="D47" s="5" t="s">
        <v>46</v>
      </c>
      <c r="E47" s="38">
        <f ca="1">TODAY()</f>
        <v>46126</v>
      </c>
      <c r="F47" s="2"/>
      <c r="G47" s="2"/>
      <c r="H47" s="2"/>
      <c r="I47" s="2"/>
      <c r="J47" s="2"/>
      <c r="K47" s="2"/>
      <c r="L47" s="1"/>
      <c r="M47" s="39" t="s">
        <v>47</v>
      </c>
      <c r="N47" s="39" t="s">
        <v>46</v>
      </c>
      <c r="O47" s="40">
        <f ca="1">E47</f>
        <v>46126</v>
      </c>
      <c r="P47" s="41"/>
      <c r="Q47" s="41"/>
      <c r="R47" s="41"/>
      <c r="S47" s="41"/>
      <c r="T47" s="1"/>
      <c r="U47" s="1"/>
      <c r="V47" s="1"/>
      <c r="W47" s="1"/>
      <c r="X47" s="1"/>
    </row>
    <row r="48" spans="1:25" ht="23.5" x14ac:dyDescent="0.55000000000000004">
      <c r="C48" s="2"/>
      <c r="D48" s="2" t="s">
        <v>13</v>
      </c>
      <c r="E48" s="42">
        <v>2</v>
      </c>
      <c r="F48" s="2" t="s">
        <v>61</v>
      </c>
      <c r="G48" s="2"/>
      <c r="H48" s="2"/>
      <c r="I48" s="2"/>
      <c r="J48" s="2"/>
      <c r="K48" s="2"/>
      <c r="L48" s="1"/>
      <c r="M48" s="41"/>
      <c r="N48" s="41" t="s">
        <v>13</v>
      </c>
      <c r="O48" s="28">
        <f>E48</f>
        <v>2</v>
      </c>
      <c r="P48" s="41" t="s">
        <v>14</v>
      </c>
      <c r="Q48" s="41"/>
      <c r="R48" s="41"/>
      <c r="S48" s="41"/>
      <c r="T48" s="1"/>
      <c r="U48" s="1"/>
      <c r="V48" s="1"/>
      <c r="W48" s="1"/>
      <c r="X48" s="1"/>
    </row>
    <row r="49" spans="3:24" ht="23.5" x14ac:dyDescent="0.55000000000000004">
      <c r="C49" s="2"/>
      <c r="D49" s="43" t="s">
        <v>48</v>
      </c>
      <c r="E49" s="44">
        <v>3.9758997563682452E-2</v>
      </c>
      <c r="F49" s="2"/>
      <c r="G49" s="2"/>
      <c r="H49" s="2"/>
      <c r="I49" s="2"/>
      <c r="J49" s="2"/>
      <c r="K49" s="2"/>
      <c r="L49" s="1"/>
      <c r="M49" s="41"/>
      <c r="N49" s="41" t="s">
        <v>49</v>
      </c>
      <c r="O49" s="32" t="s">
        <v>10</v>
      </c>
      <c r="P49" s="41"/>
      <c r="Q49" s="41"/>
      <c r="R49" s="41"/>
      <c r="S49" s="41"/>
      <c r="T49" s="1"/>
      <c r="U49" s="1"/>
      <c r="V49" s="1"/>
      <c r="W49" s="1"/>
      <c r="X49" s="1"/>
    </row>
    <row r="50" spans="3:24" ht="23.5" x14ac:dyDescent="0.55000000000000004">
      <c r="C50" s="2"/>
      <c r="D50" s="2" t="s">
        <v>17</v>
      </c>
      <c r="E50" s="45">
        <v>1000</v>
      </c>
      <c r="F50" s="2"/>
      <c r="G50" s="2"/>
      <c r="H50" s="2"/>
      <c r="I50" s="2"/>
      <c r="J50" s="2"/>
      <c r="K50" s="2"/>
      <c r="L50" s="1"/>
      <c r="M50" s="41"/>
      <c r="N50" s="41" t="s">
        <v>17</v>
      </c>
      <c r="O50" s="29">
        <f>E50</f>
        <v>1000</v>
      </c>
      <c r="P50" s="41"/>
      <c r="Q50" s="41"/>
      <c r="R50" s="41"/>
      <c r="S50" s="41"/>
      <c r="T50" s="1"/>
      <c r="U50" s="1"/>
      <c r="V50" s="1"/>
      <c r="W50" s="1"/>
      <c r="X50" s="1"/>
    </row>
    <row r="51" spans="3:24" ht="23.5" x14ac:dyDescent="0.55000000000000004">
      <c r="C51" s="2"/>
      <c r="D51" s="2" t="s">
        <v>18</v>
      </c>
      <c r="E51" s="42" t="s">
        <v>11</v>
      </c>
      <c r="F51" s="2"/>
      <c r="G51" s="2"/>
      <c r="H51" s="2"/>
      <c r="I51" s="2"/>
      <c r="J51" s="2"/>
      <c r="K51" s="2"/>
      <c r="L51" s="1"/>
      <c r="M51" s="41"/>
      <c r="N51" s="41" t="s">
        <v>18</v>
      </c>
      <c r="O51" s="28" t="s">
        <v>9</v>
      </c>
      <c r="P51" s="41"/>
      <c r="Q51" s="41"/>
      <c r="R51" s="41"/>
      <c r="S51" s="41"/>
      <c r="T51" s="1"/>
      <c r="U51" s="1"/>
      <c r="V51" s="1"/>
      <c r="W51" s="1"/>
      <c r="X51" s="1"/>
    </row>
    <row r="52" spans="3:24" ht="23.5" x14ac:dyDescent="0.55000000000000004">
      <c r="C52" s="2"/>
      <c r="D52" s="2" t="s">
        <v>0</v>
      </c>
      <c r="E52" s="8" t="s">
        <v>3</v>
      </c>
      <c r="F52" s="2"/>
      <c r="G52" s="2"/>
      <c r="H52" s="2"/>
      <c r="I52" s="2"/>
      <c r="J52" s="2"/>
      <c r="K52" s="2"/>
      <c r="L52" s="1"/>
      <c r="M52" s="41"/>
      <c r="N52" s="41" t="s">
        <v>0</v>
      </c>
      <c r="O52" s="28" t="s">
        <v>19</v>
      </c>
      <c r="P52" s="41"/>
      <c r="Q52" s="41"/>
      <c r="R52" s="41"/>
      <c r="S52" s="41"/>
      <c r="T52" s="1"/>
      <c r="U52" s="1"/>
      <c r="V52" s="1"/>
      <c r="W52" s="1"/>
      <c r="X52" s="1"/>
    </row>
    <row r="53" spans="3:24" ht="23.5" x14ac:dyDescent="0.55000000000000004">
      <c r="C53" s="2"/>
      <c r="D53" s="2" t="s">
        <v>20</v>
      </c>
      <c r="E53" s="22" t="s">
        <v>21</v>
      </c>
      <c r="F53" s="2" t="s">
        <v>62</v>
      </c>
      <c r="G53" s="2"/>
      <c r="H53" s="2"/>
      <c r="I53" s="2"/>
      <c r="J53" s="2"/>
      <c r="K53" s="2"/>
      <c r="L53" s="1"/>
      <c r="M53" s="41"/>
      <c r="N53" s="41" t="s">
        <v>20</v>
      </c>
      <c r="O53" s="28" t="s">
        <v>21</v>
      </c>
      <c r="P53" s="41" t="s">
        <v>22</v>
      </c>
      <c r="Q53" s="41"/>
      <c r="R53" s="41"/>
      <c r="S53" s="41"/>
      <c r="T53" s="1"/>
      <c r="U53" s="1"/>
      <c r="V53" s="1"/>
      <c r="W53" s="1"/>
      <c r="X53" s="1"/>
    </row>
    <row r="54" spans="3:24" ht="23.5" x14ac:dyDescent="0.55000000000000004">
      <c r="C54" s="2"/>
      <c r="D54" s="2"/>
      <c r="E54" s="22"/>
      <c r="F54" s="2"/>
      <c r="G54" s="2"/>
      <c r="H54" s="2"/>
      <c r="I54" s="2"/>
      <c r="J54" s="2"/>
      <c r="K54" s="2"/>
      <c r="L54" s="1"/>
      <c r="M54" s="41"/>
      <c r="N54" s="41" t="s">
        <v>50</v>
      </c>
      <c r="O54" s="28">
        <f>[1]Data!F43</f>
        <v>0</v>
      </c>
      <c r="P54" s="41"/>
      <c r="Q54" s="41"/>
      <c r="R54" s="41"/>
      <c r="S54" s="41"/>
      <c r="T54" s="1"/>
      <c r="U54" s="1"/>
      <c r="V54" s="1"/>
      <c r="W54" s="1"/>
      <c r="X54" s="1"/>
    </row>
    <row r="55" spans="3:24" ht="23.5" x14ac:dyDescent="0.55000000000000004">
      <c r="C55" s="2"/>
      <c r="D55" s="2"/>
      <c r="E55" s="22"/>
      <c r="F55" s="2"/>
      <c r="G55" s="2"/>
      <c r="H55" s="2"/>
      <c r="I55" s="2"/>
      <c r="J55" s="2"/>
      <c r="K55" s="2"/>
      <c r="L55" s="1"/>
      <c r="M55" s="41"/>
      <c r="N55" s="41"/>
      <c r="O55" s="28"/>
      <c r="P55" s="41"/>
      <c r="Q55" s="41"/>
      <c r="R55" s="41"/>
      <c r="S55" s="41"/>
      <c r="T55" s="1"/>
      <c r="U55" s="1"/>
      <c r="V55" s="1"/>
      <c r="W55" s="1"/>
      <c r="X55" s="1"/>
    </row>
    <row r="56" spans="3:24" ht="23.5" x14ac:dyDescent="0.55000000000000004">
      <c r="C56" s="2"/>
      <c r="D56" s="2"/>
      <c r="E56" s="22"/>
      <c r="F56" s="2"/>
      <c r="G56" s="2"/>
      <c r="H56" s="2"/>
      <c r="I56" s="2"/>
      <c r="J56" s="2"/>
      <c r="K56" s="2"/>
      <c r="L56" s="1"/>
      <c r="M56" s="41"/>
      <c r="N56" s="41"/>
      <c r="O56" s="28"/>
      <c r="P56" s="41"/>
      <c r="Q56" s="41"/>
      <c r="R56" s="41"/>
      <c r="S56" s="41"/>
      <c r="T56" s="1"/>
      <c r="U56" s="1"/>
      <c r="V56" s="1"/>
      <c r="W56" s="1"/>
      <c r="X56" s="1"/>
    </row>
    <row r="57" spans="3:24" ht="23.5" x14ac:dyDescent="0.55000000000000004">
      <c r="C57" s="1"/>
      <c r="D57" s="1"/>
      <c r="E57" s="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3:24" ht="23.5" x14ac:dyDescent="0.55000000000000004">
      <c r="C58" s="1"/>
      <c r="D58" s="1"/>
      <c r="E58" s="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3:24" ht="23.5" x14ac:dyDescent="0.55000000000000004">
      <c r="C59" s="1"/>
      <c r="D59" s="1"/>
      <c r="E59" s="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3:24" ht="23.5" x14ac:dyDescent="0.55000000000000004">
      <c r="C60" s="1"/>
      <c r="D60" s="1"/>
      <c r="E60" s="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3:24" ht="23.5" x14ac:dyDescent="0.55000000000000004">
      <c r="C61" s="49" t="s">
        <v>51</v>
      </c>
      <c r="D61" s="9" t="s">
        <v>23</v>
      </c>
      <c r="E61" s="8"/>
      <c r="F61" s="8"/>
      <c r="G61" s="8"/>
      <c r="H61" s="8"/>
      <c r="I61" s="8"/>
      <c r="J61" s="8"/>
      <c r="K61" s="9" t="s">
        <v>63</v>
      </c>
      <c r="L61" s="8"/>
      <c r="M61" s="8"/>
      <c r="N61" s="8"/>
      <c r="O61" s="8"/>
      <c r="P61" s="8"/>
      <c r="Q61" s="8"/>
      <c r="R61" s="8"/>
      <c r="S61" s="1"/>
      <c r="T61" s="1"/>
      <c r="U61" s="1"/>
      <c r="V61" s="1"/>
      <c r="W61" s="1"/>
      <c r="X61" s="1"/>
    </row>
    <row r="62" spans="3:24" ht="23.5" x14ac:dyDescent="0.55000000000000004">
      <c r="C62" s="9" t="s">
        <v>24</v>
      </c>
      <c r="D62" s="9" t="s">
        <v>25</v>
      </c>
      <c r="E62" s="9" t="s">
        <v>26</v>
      </c>
      <c r="F62" s="9" t="s">
        <v>52</v>
      </c>
      <c r="G62" s="9" t="s">
        <v>53</v>
      </c>
      <c r="H62" s="9" t="s">
        <v>28</v>
      </c>
      <c r="I62" s="9" t="s">
        <v>29</v>
      </c>
      <c r="J62" s="9" t="s">
        <v>30</v>
      </c>
      <c r="K62" s="9" t="s">
        <v>64</v>
      </c>
      <c r="L62" s="9" t="s">
        <v>31</v>
      </c>
      <c r="M62" s="9" t="s">
        <v>32</v>
      </c>
      <c r="N62" s="9" t="s">
        <v>33</v>
      </c>
      <c r="O62" s="9" t="s">
        <v>34</v>
      </c>
      <c r="P62" s="9" t="s">
        <v>35</v>
      </c>
      <c r="Q62" s="9"/>
      <c r="R62" s="9"/>
      <c r="S62" s="1"/>
      <c r="T62" s="1"/>
      <c r="U62" s="1"/>
      <c r="V62" s="1"/>
      <c r="W62" s="1"/>
      <c r="X62" s="1"/>
    </row>
    <row r="63" spans="3:24" ht="23.5" x14ac:dyDescent="0.55000000000000004">
      <c r="C63" s="22">
        <v>1</v>
      </c>
      <c r="D63" s="22" t="s">
        <v>36</v>
      </c>
      <c r="E63" s="23">
        <f>$E$50</f>
        <v>1000</v>
      </c>
      <c r="F63" s="24">
        <f>$E$49</f>
        <v>3.9758997563682452E-2</v>
      </c>
      <c r="G63" s="25"/>
      <c r="H63" s="26">
        <f>'YIELD CURVE'!D8</f>
        <v>4.6050000000000008E-2</v>
      </c>
      <c r="I63" s="22">
        <v>180</v>
      </c>
      <c r="J63" s="22">
        <v>360</v>
      </c>
      <c r="K63" s="22"/>
      <c r="L63" s="27">
        <f ca="1">E47</f>
        <v>46126</v>
      </c>
      <c r="M63" s="27">
        <f t="shared" ref="M63:M70" ca="1" si="23">L63+I63</f>
        <v>46306</v>
      </c>
      <c r="N63" s="23">
        <f>E63*F63*I63/J63</f>
        <v>19.879498781841225</v>
      </c>
      <c r="O63" s="22">
        <f>1/(1+H63)^(C63/2)</f>
        <v>0.97774088987906393</v>
      </c>
      <c r="P63" s="23">
        <f>N63*O63</f>
        <v>19.436998829307207</v>
      </c>
      <c r="Q63" s="22"/>
      <c r="R63" s="50"/>
      <c r="S63" s="51"/>
      <c r="T63" s="8"/>
      <c r="U63" s="5" t="s">
        <v>55</v>
      </c>
      <c r="V63" s="6">
        <f>SUM(P63:P66)</f>
        <v>74.96999999999997</v>
      </c>
      <c r="W63" s="8"/>
      <c r="X63" s="8"/>
    </row>
    <row r="64" spans="3:24" ht="23.5" x14ac:dyDescent="0.55000000000000004">
      <c r="C64" s="22">
        <v>2</v>
      </c>
      <c r="D64" s="22" t="s">
        <v>36</v>
      </c>
      <c r="E64" s="23">
        <f t="shared" ref="E64:E66" si="24">$E$50</f>
        <v>1000</v>
      </c>
      <c r="F64" s="24">
        <f t="shared" ref="F64:F66" si="25">$E$49</f>
        <v>3.9758997563682452E-2</v>
      </c>
      <c r="G64" s="22"/>
      <c r="H64" s="26">
        <f>'YIELD CURVE'!D14</f>
        <v>4.7310000000000019E-2</v>
      </c>
      <c r="I64" s="22">
        <v>180</v>
      </c>
      <c r="J64" s="22">
        <v>360</v>
      </c>
      <c r="K64" s="22"/>
      <c r="L64" s="27">
        <f ca="1">M63</f>
        <v>46306</v>
      </c>
      <c r="M64" s="27">
        <f t="shared" ca="1" si="23"/>
        <v>46486</v>
      </c>
      <c r="N64" s="23">
        <f t="shared" ref="N64:N66" si="26">E64*F64*I64/J64</f>
        <v>19.879498781841225</v>
      </c>
      <c r="O64" s="22">
        <f t="shared" ref="O64:O66" si="27">1/(1+H64)^(C64/2)</f>
        <v>0.95482712854837637</v>
      </c>
      <c r="P64" s="23">
        <f t="shared" ref="P64:P66" si="28">N64*O64</f>
        <v>18.981484738846401</v>
      </c>
      <c r="Q64" s="22"/>
      <c r="R64" s="22"/>
      <c r="S64" s="22"/>
      <c r="T64" s="8"/>
      <c r="U64" s="1"/>
      <c r="V64" s="1"/>
      <c r="W64" s="8"/>
      <c r="X64" s="8"/>
    </row>
    <row r="65" spans="3:24" ht="23.5" x14ac:dyDescent="0.55000000000000004">
      <c r="C65" s="22">
        <v>3</v>
      </c>
      <c r="D65" s="22" t="s">
        <v>36</v>
      </c>
      <c r="E65" s="23">
        <f t="shared" si="24"/>
        <v>1000</v>
      </c>
      <c r="F65" s="24">
        <f t="shared" si="25"/>
        <v>3.9758997563682452E-2</v>
      </c>
      <c r="G65" s="22"/>
      <c r="H65" s="26">
        <f>'YIELD CURVE'!D20</f>
        <v>4.857000000000003E-2</v>
      </c>
      <c r="I65" s="22">
        <v>180</v>
      </c>
      <c r="J65" s="22">
        <v>360</v>
      </c>
      <c r="K65" s="22"/>
      <c r="L65" s="27">
        <f t="shared" ref="L65:L66" ca="1" si="29">M64</f>
        <v>46486</v>
      </c>
      <c r="M65" s="27">
        <f t="shared" ca="1" si="23"/>
        <v>46666</v>
      </c>
      <c r="N65" s="23">
        <f t="shared" si="26"/>
        <v>19.879498781841225</v>
      </c>
      <c r="O65" s="22">
        <f t="shared" si="27"/>
        <v>0.93133056827843086</v>
      </c>
      <c r="P65" s="23">
        <f t="shared" si="28"/>
        <v>18.514384897582563</v>
      </c>
      <c r="Q65" s="22"/>
      <c r="R65" s="22"/>
      <c r="S65" s="22"/>
      <c r="T65" s="8"/>
      <c r="U65" s="1"/>
      <c r="V65" s="1"/>
      <c r="W65" s="8"/>
      <c r="X65" s="8"/>
    </row>
    <row r="66" spans="3:24" ht="23.5" x14ac:dyDescent="0.55000000000000004">
      <c r="C66" s="22">
        <v>4</v>
      </c>
      <c r="D66" s="22" t="s">
        <v>36</v>
      </c>
      <c r="E66" s="23">
        <f t="shared" si="24"/>
        <v>1000</v>
      </c>
      <c r="F66" s="24">
        <f t="shared" si="25"/>
        <v>3.9758997563682452E-2</v>
      </c>
      <c r="G66" s="22"/>
      <c r="H66" s="26">
        <f>'YIELD CURVE'!D26</f>
        <v>4.9830000000000041E-2</v>
      </c>
      <c r="I66" s="22">
        <v>180</v>
      </c>
      <c r="J66" s="22">
        <v>360</v>
      </c>
      <c r="K66" s="22"/>
      <c r="L66" s="27">
        <f t="shared" ca="1" si="29"/>
        <v>46666</v>
      </c>
      <c r="M66" s="27">
        <f t="shared" ca="1" si="23"/>
        <v>46846</v>
      </c>
      <c r="N66" s="23">
        <f t="shared" si="26"/>
        <v>19.879498781841225</v>
      </c>
      <c r="O66" s="22">
        <f t="shared" si="27"/>
        <v>0.90732325458525609</v>
      </c>
      <c r="P66" s="23">
        <f t="shared" si="28"/>
        <v>18.037131534263814</v>
      </c>
      <c r="Q66" s="22"/>
      <c r="R66" s="22"/>
      <c r="S66" s="22"/>
      <c r="T66" s="8"/>
      <c r="U66" s="1"/>
      <c r="V66" s="1"/>
      <c r="W66" s="8"/>
      <c r="X66" s="8"/>
    </row>
    <row r="67" spans="3:24" ht="23.5" x14ac:dyDescent="0.55000000000000004">
      <c r="C67" s="28">
        <v>1</v>
      </c>
      <c r="D67" s="28" t="s">
        <v>56</v>
      </c>
      <c r="E67" s="29">
        <f>$O$50</f>
        <v>1000</v>
      </c>
      <c r="F67" s="28"/>
      <c r="G67" s="52">
        <f>'YIELD CURVE'!H4</f>
        <v>2.2200000000000001E-2</v>
      </c>
      <c r="H67" s="52">
        <f>'YIELD CURVE'!$C$3</f>
        <v>0.04</v>
      </c>
      <c r="I67" s="28">
        <v>180</v>
      </c>
      <c r="J67" s="28">
        <v>360</v>
      </c>
      <c r="K67" s="33">
        <f ca="1">L67</f>
        <v>46126</v>
      </c>
      <c r="L67" s="33">
        <f ca="1">O47</f>
        <v>46126</v>
      </c>
      <c r="M67" s="33">
        <f t="shared" ca="1" si="23"/>
        <v>46306</v>
      </c>
      <c r="N67" s="29">
        <f>E67*G67*I67/J67</f>
        <v>11.1</v>
      </c>
      <c r="O67" s="28">
        <f>1/(1+H67)^(C67/2)</f>
        <v>0.98058067569092011</v>
      </c>
      <c r="P67" s="29">
        <f>N67*O67</f>
        <v>10.884445500169212</v>
      </c>
      <c r="Q67" s="28"/>
      <c r="R67" s="28"/>
      <c r="S67" s="28"/>
      <c r="T67" s="8"/>
      <c r="U67" s="1"/>
      <c r="V67" s="1"/>
      <c r="W67" s="8"/>
      <c r="X67" s="8"/>
    </row>
    <row r="68" spans="3:24" ht="23.5" x14ac:dyDescent="0.55000000000000004">
      <c r="C68" s="28">
        <v>2</v>
      </c>
      <c r="D68" s="28" t="s">
        <v>56</v>
      </c>
      <c r="E68" s="29">
        <f t="shared" ref="E68:E70" si="30">$O$50</f>
        <v>1000</v>
      </c>
      <c r="F68" s="28"/>
      <c r="G68" s="53">
        <v>4.3400000000000001E-2</v>
      </c>
      <c r="H68" s="52">
        <f>'YIELD CURVE'!$C$3</f>
        <v>0.04</v>
      </c>
      <c r="I68" s="28">
        <v>180</v>
      </c>
      <c r="J68" s="28">
        <v>360</v>
      </c>
      <c r="K68" s="33">
        <f t="shared" ref="K68:K70" ca="1" si="31">L68</f>
        <v>46306</v>
      </c>
      <c r="L68" s="33">
        <f ca="1">M67</f>
        <v>46306</v>
      </c>
      <c r="M68" s="33">
        <f t="shared" ca="1" si="23"/>
        <v>46486</v>
      </c>
      <c r="N68" s="29">
        <f t="shared" ref="N68:N70" si="32">E68*G68*I68/J68</f>
        <v>21.7</v>
      </c>
      <c r="O68" s="28">
        <f t="shared" ref="O68:O70" si="33">1/(1+H68)^(C68/2)</f>
        <v>0.96153846153846145</v>
      </c>
      <c r="P68" s="29">
        <f t="shared" ref="P68:P70" si="34">N68*O68</f>
        <v>20.865384615384613</v>
      </c>
      <c r="Q68" s="28"/>
      <c r="R68" s="28"/>
      <c r="S68" s="28"/>
      <c r="T68" s="8"/>
      <c r="U68" s="41" t="s">
        <v>58</v>
      </c>
      <c r="V68" s="47">
        <f>SUM(P67:P70)</f>
        <v>74.972415721795727</v>
      </c>
      <c r="W68" s="8"/>
      <c r="X68" s="8"/>
    </row>
    <row r="69" spans="3:24" ht="23.5" x14ac:dyDescent="0.55000000000000004">
      <c r="C69" s="28">
        <v>3</v>
      </c>
      <c r="D69" s="28" t="s">
        <v>56</v>
      </c>
      <c r="E69" s="29">
        <f t="shared" si="30"/>
        <v>1000</v>
      </c>
      <c r="F69" s="28"/>
      <c r="G69" s="53">
        <v>4.5400000000000003E-2</v>
      </c>
      <c r="H69" s="52">
        <f>'YIELD CURVE'!$C$3</f>
        <v>0.04</v>
      </c>
      <c r="I69" s="28">
        <v>180</v>
      </c>
      <c r="J69" s="28">
        <v>360</v>
      </c>
      <c r="K69" s="33">
        <f t="shared" ca="1" si="31"/>
        <v>46486</v>
      </c>
      <c r="L69" s="33">
        <f t="shared" ref="L69:L70" ca="1" si="35">M68</f>
        <v>46486</v>
      </c>
      <c r="M69" s="33">
        <f t="shared" ca="1" si="23"/>
        <v>46666</v>
      </c>
      <c r="N69" s="29">
        <f t="shared" si="32"/>
        <v>22.700000000000003</v>
      </c>
      <c r="O69" s="28">
        <f t="shared" si="33"/>
        <v>0.94286603431819238</v>
      </c>
      <c r="P69" s="29">
        <f t="shared" si="34"/>
        <v>21.403058979022969</v>
      </c>
      <c r="Q69" s="28"/>
      <c r="R69" s="28"/>
      <c r="S69" s="28"/>
      <c r="T69" s="8"/>
      <c r="U69" s="8"/>
      <c r="V69" s="8"/>
      <c r="W69" s="8"/>
      <c r="X69" s="8"/>
    </row>
    <row r="70" spans="3:24" ht="23.5" x14ac:dyDescent="0.55000000000000004">
      <c r="C70" s="28">
        <v>4</v>
      </c>
      <c r="D70" s="28" t="s">
        <v>56</v>
      </c>
      <c r="E70" s="29">
        <f t="shared" si="30"/>
        <v>1000</v>
      </c>
      <c r="F70" s="28"/>
      <c r="G70" s="53">
        <v>4.7199999999999999E-2</v>
      </c>
      <c r="H70" s="52">
        <f>'YIELD CURVE'!$C$3</f>
        <v>0.04</v>
      </c>
      <c r="I70" s="28">
        <v>180</v>
      </c>
      <c r="J70" s="28">
        <v>360</v>
      </c>
      <c r="K70" s="33">
        <f t="shared" ca="1" si="31"/>
        <v>46666</v>
      </c>
      <c r="L70" s="33">
        <f t="shared" ca="1" si="35"/>
        <v>46666</v>
      </c>
      <c r="M70" s="33">
        <f t="shared" ca="1" si="23"/>
        <v>46846</v>
      </c>
      <c r="N70" s="29">
        <f t="shared" si="32"/>
        <v>23.6</v>
      </c>
      <c r="O70" s="28">
        <f t="shared" si="33"/>
        <v>0.92455621301775137</v>
      </c>
      <c r="P70" s="29">
        <f t="shared" si="34"/>
        <v>21.819526627218934</v>
      </c>
      <c r="Q70" s="28"/>
      <c r="R70" s="28"/>
      <c r="S70" s="28"/>
      <c r="T70" s="8"/>
      <c r="U70" s="8"/>
      <c r="V70" s="8"/>
      <c r="W70" s="8"/>
      <c r="X70" s="8"/>
    </row>
    <row r="71" spans="3:24" ht="23.5" x14ac:dyDescent="0.55000000000000004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599708-5341-42ED-92CF-A024A98C8B14}">
          <x14:formula1>
            <xm:f>'YIELD CURVE'!$F$2:$F$5</xm:f>
          </x14:formula1>
          <xm:sqref>E8 E51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YIELD CURVE</vt:lpstr>
      <vt:lpstr>PRICING BOND</vt:lpstr>
      <vt:lpstr>TRA</vt:lpstr>
      <vt:lpstr>Tx FWD</vt:lpstr>
      <vt:lpstr>SWAP DE TAUX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MA46953</dc:creator>
  <cp:lastModifiedBy>MA46953</cp:lastModifiedBy>
  <dcterms:created xsi:type="dcterms:W3CDTF">2026-04-13T20:25:18Z</dcterms:created>
  <dcterms:modified xsi:type="dcterms:W3CDTF">2026-04-13T22:27:40Z</dcterms:modified>
</cp:coreProperties>
</file>